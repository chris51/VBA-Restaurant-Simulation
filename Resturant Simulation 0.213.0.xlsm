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 Files\aa-Resturant Sim\"/>
    </mc:Choice>
  </mc:AlternateContent>
  <xr:revisionPtr revIDLastSave="0" documentId="13_ncr:1_{2636CE5F-2082-416D-AB3D-C5C24BB14649}" xr6:coauthVersionLast="47" xr6:coauthVersionMax="47" xr10:uidLastSave="{00000000-0000-0000-0000-000000000000}"/>
  <bookViews>
    <workbookView xWindow="-108" yWindow="-108" windowWidth="23256" windowHeight="12576" tabRatio="765" xr2:uid="{00000000-000D-0000-FFFF-FFFF00000000}"/>
  </bookViews>
  <sheets>
    <sheet name="Runtime" sheetId="13" r:id="rId1"/>
    <sheet name="Variables" sheetId="2" r:id="rId2"/>
    <sheet name="Themes" sheetId="101" r:id="rId3"/>
    <sheet name="Menu" sheetId="48" r:id="rId4"/>
    <sheet name="Catalog" sheetId="104" r:id="rId5"/>
    <sheet name="Recipes" sheetId="107" r:id="rId6"/>
    <sheet name="Inventory" sheetId="103" r:id="rId7"/>
    <sheet name="Current" sheetId="109" r:id="rId8"/>
    <sheet name="Personnel" sheetId="67" r:id="rId9"/>
    <sheet name="Promotions" sheetId="86" r:id="rId10"/>
    <sheet name="Projects" sheetId="102" r:id="rId11"/>
    <sheet name="Demand" sheetId="3" r:id="rId12"/>
    <sheet name="Versions" sheetId="111" r:id="rId13"/>
  </sheets>
  <functionGroups builtInGroupCount="19"/>
  <definedNames>
    <definedName name="AverageWageRate">Runtime!$B$11</definedName>
    <definedName name="Catalog">Catalog!$A$2:$J$53</definedName>
    <definedName name="ChartNumber">Runtime!$B$6</definedName>
    <definedName name="ConversionRate">Runtime!$B$10</definedName>
    <definedName name="CustomerType">Variables!$E$45:$E$53</definedName>
    <definedName name="Demand">Demand!$Q$11:$Q$82</definedName>
    <definedName name="DemandKey">Demand!$B$11:$B$130</definedName>
    <definedName name="DemandSplitKey">#REF!</definedName>
    <definedName name="FoodTruckLocation">Variables!$E$34:$E$40</definedName>
    <definedName name="Inventory" localSheetId="7">Current!$A$2:$E$24</definedName>
    <definedName name="Inventory">Inventory!$A$2:$C$7</definedName>
    <definedName name="Location">Variables!$E$22:$E$30</definedName>
    <definedName name="MenuChoice">Menu!$F$9:$N$41</definedName>
    <definedName name="MenuType">Menu!$G$9:$G$39</definedName>
    <definedName name="Plates">Variables!$E$68:$E$72</definedName>
    <definedName name="_xlnm.Print_Area" localSheetId="1">Variables!$E$171:$L$181</definedName>
    <definedName name="ProductMaster" localSheetId="7">Current!$B$7:$E$20</definedName>
    <definedName name="ProductMaster">Inventory!$B$7:$C$7</definedName>
    <definedName name="Projects">#REF!</definedName>
    <definedName name="PromoSelect">Promotions!#REF!,Promotions!$E$5:$E$20,Promotions!$H$5:$H$20</definedName>
    <definedName name="PromotionType">Promotions!$C$5:$L$20</definedName>
    <definedName name="Recipes">Recipes!$A$2:$H$50</definedName>
    <definedName name="RestaurantSize">Variables!$E$62:$E$65</definedName>
    <definedName name="RestaurantTheme">Themes!$F$6:$F$40</definedName>
    <definedName name="RestTypeName">Variables!$E$6:$E$17</definedName>
    <definedName name="RunNumber">Runtime!$B$5</definedName>
    <definedName name="Seatings">Variables!$E$75:$E$81</definedName>
    <definedName name="ShirkRate">Runtime!$B$15</definedName>
    <definedName name="SimpleStaffing">Personnel!$D$17:$D$28</definedName>
    <definedName name="SizeType">Variables!$E$58:$E$65</definedName>
    <definedName name="Staffing">Variables!$C$172:$J$211</definedName>
    <definedName name="Version">Runtime!$B$7</definedName>
    <definedName name="VersionDate">Runtime!$B$8</definedName>
  </definedNames>
  <calcPr calcId="181029" calcMode="manual"/>
</workbook>
</file>

<file path=xl/calcChain.xml><?xml version="1.0" encoding="utf-8"?>
<calcChain xmlns="http://schemas.openxmlformats.org/spreadsheetml/2006/main">
  <c r="I3" i="67" l="1"/>
  <c r="K130" i="3"/>
  <c r="M130" i="3" s="1"/>
  <c r="C130" i="3"/>
  <c r="K129" i="3"/>
  <c r="M129" i="3" s="1"/>
  <c r="C129" i="3"/>
  <c r="K128" i="3"/>
  <c r="M128" i="3" s="1"/>
  <c r="C128" i="3"/>
  <c r="K127" i="3"/>
  <c r="M127" i="3" s="1"/>
  <c r="C127" i="3"/>
  <c r="K126" i="3"/>
  <c r="M126" i="3" s="1"/>
  <c r="C126" i="3"/>
  <c r="K125" i="3"/>
  <c r="M125" i="3" s="1"/>
  <c r="C125" i="3"/>
  <c r="K124" i="3"/>
  <c r="M124" i="3" s="1"/>
  <c r="C124" i="3"/>
  <c r="K123" i="3"/>
  <c r="M123" i="3" s="1"/>
  <c r="C123" i="3"/>
  <c r="K122" i="3"/>
  <c r="M122" i="3" s="1"/>
  <c r="C122" i="3"/>
  <c r="K121" i="3"/>
  <c r="M121" i="3" s="1"/>
  <c r="C121" i="3"/>
  <c r="K120" i="3"/>
  <c r="M120" i="3" s="1"/>
  <c r="C120" i="3"/>
  <c r="K119" i="3"/>
  <c r="M119" i="3" s="1"/>
  <c r="C119" i="3"/>
  <c r="K118" i="3"/>
  <c r="M118" i="3" s="1"/>
  <c r="C118" i="3"/>
  <c r="K117" i="3"/>
  <c r="M117" i="3" s="1"/>
  <c r="C117" i="3"/>
  <c r="K116" i="3"/>
  <c r="M116" i="3" s="1"/>
  <c r="C116" i="3"/>
  <c r="K115" i="3"/>
  <c r="M115" i="3" s="1"/>
  <c r="C115" i="3"/>
  <c r="K114" i="3"/>
  <c r="M114" i="3" s="1"/>
  <c r="C114" i="3"/>
  <c r="K113" i="3"/>
  <c r="M113" i="3" s="1"/>
  <c r="C113" i="3"/>
  <c r="K112" i="3"/>
  <c r="M112" i="3" s="1"/>
  <c r="C112" i="3"/>
  <c r="K111" i="3"/>
  <c r="M111" i="3" s="1"/>
  <c r="C111" i="3"/>
  <c r="K110" i="3"/>
  <c r="M110" i="3" s="1"/>
  <c r="C110" i="3"/>
  <c r="K109" i="3"/>
  <c r="M109" i="3" s="1"/>
  <c r="C109" i="3"/>
  <c r="K108" i="3"/>
  <c r="M108" i="3" s="1"/>
  <c r="C108" i="3"/>
  <c r="K107" i="3"/>
  <c r="M107" i="3" s="1"/>
  <c r="C107" i="3"/>
  <c r="K106" i="3"/>
  <c r="M106" i="3" s="1"/>
  <c r="C106" i="3"/>
  <c r="K105" i="3"/>
  <c r="M105" i="3" s="1"/>
  <c r="C105" i="3"/>
  <c r="K104" i="3"/>
  <c r="M104" i="3" s="1"/>
  <c r="C104" i="3"/>
  <c r="K103" i="3"/>
  <c r="M103" i="3" s="1"/>
  <c r="C103" i="3"/>
  <c r="K102" i="3"/>
  <c r="M102" i="3" s="1"/>
  <c r="C102" i="3"/>
  <c r="K101" i="3"/>
  <c r="M101" i="3" s="1"/>
  <c r="C101" i="3"/>
  <c r="K100" i="3"/>
  <c r="M100" i="3" s="1"/>
  <c r="C100" i="3"/>
  <c r="K99" i="3"/>
  <c r="M99" i="3" s="1"/>
  <c r="C99" i="3"/>
  <c r="K98" i="3"/>
  <c r="M98" i="3" s="1"/>
  <c r="C98" i="3"/>
  <c r="K97" i="3"/>
  <c r="M97" i="3" s="1"/>
  <c r="C97" i="3"/>
  <c r="K96" i="3"/>
  <c r="M96" i="3" s="1"/>
  <c r="C96" i="3"/>
  <c r="K95" i="3"/>
  <c r="M95" i="3" s="1"/>
  <c r="C95" i="3"/>
  <c r="K94" i="3"/>
  <c r="M94" i="3" s="1"/>
  <c r="C94" i="3"/>
  <c r="K93" i="3"/>
  <c r="M93" i="3" s="1"/>
  <c r="C93" i="3"/>
  <c r="K92" i="3"/>
  <c r="M92" i="3" s="1"/>
  <c r="C92" i="3"/>
  <c r="K91" i="3"/>
  <c r="M91" i="3" s="1"/>
  <c r="C91" i="3"/>
  <c r="K90" i="3"/>
  <c r="M90" i="3" s="1"/>
  <c r="C90" i="3"/>
  <c r="K89" i="3"/>
  <c r="M89" i="3" s="1"/>
  <c r="C89" i="3"/>
  <c r="K88" i="3"/>
  <c r="M88" i="3" s="1"/>
  <c r="C88" i="3"/>
  <c r="K87" i="3"/>
  <c r="M87" i="3" s="1"/>
  <c r="C87" i="3"/>
  <c r="K86" i="3"/>
  <c r="M86" i="3" s="1"/>
  <c r="C86" i="3"/>
  <c r="K85" i="3"/>
  <c r="M85" i="3" s="1"/>
  <c r="C85" i="3"/>
  <c r="K84" i="3"/>
  <c r="M84" i="3" s="1"/>
  <c r="C84" i="3"/>
  <c r="K83" i="3"/>
  <c r="M83" i="3" s="1"/>
  <c r="C83" i="3"/>
  <c r="N82" i="3"/>
  <c r="C82" i="3"/>
  <c r="N81" i="3"/>
  <c r="C81" i="3"/>
  <c r="N80" i="3"/>
  <c r="C80" i="3"/>
  <c r="N79" i="3"/>
  <c r="C79" i="3"/>
  <c r="N78" i="3"/>
  <c r="C78" i="3"/>
  <c r="N77" i="3"/>
  <c r="C77" i="3"/>
  <c r="N76" i="3"/>
  <c r="C76" i="3"/>
  <c r="N75" i="3"/>
  <c r="C75" i="3"/>
  <c r="N74" i="3"/>
  <c r="C74" i="3"/>
  <c r="N73" i="3"/>
  <c r="C73" i="3"/>
  <c r="N72" i="3"/>
  <c r="C72" i="3"/>
  <c r="N71" i="3"/>
  <c r="C71" i="3"/>
  <c r="N70" i="3"/>
  <c r="C70" i="3"/>
  <c r="N69" i="3"/>
  <c r="C69" i="3"/>
  <c r="N68" i="3"/>
  <c r="C68" i="3"/>
  <c r="N67" i="3"/>
  <c r="C67" i="3"/>
  <c r="N66" i="3"/>
  <c r="C66" i="3"/>
  <c r="N65" i="3"/>
  <c r="C65" i="3"/>
  <c r="N64" i="3"/>
  <c r="C64" i="3"/>
  <c r="N63" i="3"/>
  <c r="C63" i="3"/>
  <c r="N62" i="3"/>
  <c r="C62" i="3"/>
  <c r="N61" i="3"/>
  <c r="C61" i="3"/>
  <c r="N60" i="3"/>
  <c r="C60" i="3"/>
  <c r="N59" i="3"/>
  <c r="C59" i="3"/>
  <c r="N58" i="3"/>
  <c r="C58" i="3"/>
  <c r="N57" i="3"/>
  <c r="C57" i="3"/>
  <c r="N56" i="3"/>
  <c r="C56" i="3"/>
  <c r="N55" i="3"/>
  <c r="C55" i="3"/>
  <c r="N54" i="3"/>
  <c r="C54" i="3"/>
  <c r="N53" i="3"/>
  <c r="C53" i="3"/>
  <c r="N52" i="3"/>
  <c r="C52" i="3"/>
  <c r="N51" i="3"/>
  <c r="C51" i="3"/>
  <c r="N50" i="3"/>
  <c r="C50" i="3"/>
  <c r="N49" i="3"/>
  <c r="C49" i="3"/>
  <c r="N48" i="3"/>
  <c r="C48" i="3"/>
  <c r="N47" i="3"/>
  <c r="C47" i="3"/>
  <c r="N46" i="3"/>
  <c r="C46" i="3"/>
  <c r="N45" i="3"/>
  <c r="C45" i="3"/>
  <c r="N44" i="3"/>
  <c r="C44" i="3"/>
  <c r="N43" i="3"/>
  <c r="C43" i="3"/>
  <c r="N42" i="3"/>
  <c r="C42" i="3"/>
  <c r="N41" i="3"/>
  <c r="C41" i="3"/>
  <c r="N40" i="3"/>
  <c r="C40" i="3"/>
  <c r="N39" i="3"/>
  <c r="C39" i="3"/>
  <c r="N38" i="3"/>
  <c r="C38" i="3"/>
  <c r="N37" i="3"/>
  <c r="C37" i="3"/>
  <c r="N36" i="3"/>
  <c r="C36" i="3"/>
  <c r="N35" i="3"/>
  <c r="C35" i="3"/>
  <c r="N34" i="3"/>
  <c r="C34" i="3"/>
  <c r="N33" i="3"/>
  <c r="C33" i="3"/>
  <c r="N32" i="3"/>
  <c r="C32" i="3"/>
  <c r="N31" i="3"/>
  <c r="C31" i="3"/>
  <c r="N30" i="3"/>
  <c r="C30" i="3"/>
  <c r="N29" i="3"/>
  <c r="C29" i="3"/>
  <c r="N28" i="3"/>
  <c r="C28" i="3"/>
  <c r="N27" i="3"/>
  <c r="C27" i="3"/>
  <c r="N26" i="3"/>
  <c r="C26" i="3"/>
  <c r="N25" i="3"/>
  <c r="C25" i="3"/>
  <c r="N24" i="3"/>
  <c r="C24" i="3"/>
  <c r="N23" i="3"/>
  <c r="C23" i="3"/>
  <c r="N22" i="3"/>
  <c r="C22" i="3"/>
  <c r="N21" i="3"/>
  <c r="C21" i="3"/>
  <c r="N20" i="3"/>
  <c r="C20" i="3"/>
  <c r="N19" i="3"/>
  <c r="C19" i="3"/>
  <c r="N18" i="3"/>
  <c r="C18" i="3"/>
  <c r="N17" i="3"/>
  <c r="C17" i="3"/>
  <c r="N16" i="3"/>
  <c r="C16" i="3"/>
  <c r="N15" i="3"/>
  <c r="C15" i="3"/>
  <c r="N14" i="3"/>
  <c r="C14" i="3"/>
  <c r="C13" i="3"/>
  <c r="C12" i="3"/>
  <c r="A12" i="3"/>
  <c r="A13" i="3" s="1"/>
  <c r="F11" i="3"/>
  <c r="F12" i="3" s="1"/>
  <c r="C11" i="3"/>
  <c r="B11" i="3"/>
  <c r="N42" i="48"/>
  <c r="N41" i="48"/>
  <c r="N40" i="48"/>
  <c r="N39" i="48"/>
  <c r="M39" i="48"/>
  <c r="N38" i="48"/>
  <c r="M38" i="48"/>
  <c r="N37" i="48"/>
  <c r="M37" i="48"/>
  <c r="N36" i="48"/>
  <c r="M36" i="48"/>
  <c r="N35" i="48"/>
  <c r="M35" i="48"/>
  <c r="N34" i="48"/>
  <c r="M34" i="48"/>
  <c r="N33" i="48"/>
  <c r="M33" i="48"/>
  <c r="N32" i="48"/>
  <c r="M32" i="48"/>
  <c r="N31" i="48"/>
  <c r="M31" i="48"/>
  <c r="N30" i="48"/>
  <c r="M30" i="48"/>
  <c r="N29" i="48"/>
  <c r="M29" i="48"/>
  <c r="N28" i="48"/>
  <c r="M28" i="48"/>
  <c r="N27" i="48"/>
  <c r="M27" i="48"/>
  <c r="N26" i="48"/>
  <c r="M26" i="48"/>
  <c r="N25" i="48"/>
  <c r="M25" i="48"/>
  <c r="N24" i="48"/>
  <c r="M24" i="48"/>
  <c r="N23" i="48"/>
  <c r="M23" i="48"/>
  <c r="N22" i="48"/>
  <c r="M22" i="48"/>
  <c r="N21" i="48"/>
  <c r="M21" i="48"/>
  <c r="N20" i="48"/>
  <c r="M20" i="48"/>
  <c r="N19" i="48"/>
  <c r="M19" i="48"/>
  <c r="N18" i="48"/>
  <c r="M18" i="48"/>
  <c r="N17" i="48"/>
  <c r="M17" i="48"/>
  <c r="N16" i="48"/>
  <c r="M16" i="48"/>
  <c r="N15" i="48"/>
  <c r="M15" i="48"/>
  <c r="N14" i="48"/>
  <c r="M14" i="48"/>
  <c r="N13" i="48"/>
  <c r="M13" i="48"/>
  <c r="N12" i="48"/>
  <c r="M12" i="48"/>
  <c r="N11" i="48"/>
  <c r="M11" i="48"/>
  <c r="N10" i="48"/>
  <c r="M10" i="48"/>
  <c r="W9" i="48"/>
  <c r="N9" i="48"/>
  <c r="M9" i="48"/>
  <c r="I166" i="2"/>
  <c r="J166" i="2" s="1"/>
  <c r="K166" i="2" s="1"/>
  <c r="N65" i="2"/>
  <c r="N64" i="2"/>
  <c r="N63" i="2"/>
  <c r="N62" i="2"/>
  <c r="N61" i="2"/>
  <c r="P59" i="2"/>
  <c r="N59" i="2"/>
  <c r="S58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F13" i="3" l="1"/>
  <c r="H12" i="3"/>
  <c r="A14" i="3"/>
  <c r="B13" i="3"/>
  <c r="B12" i="3"/>
  <c r="H11" i="3"/>
  <c r="B14" i="3" l="1"/>
  <c r="A15" i="3"/>
  <c r="F14" i="3"/>
  <c r="H13" i="3"/>
  <c r="I11" i="3"/>
  <c r="H14" i="3" l="1"/>
  <c r="F15" i="3"/>
  <c r="A16" i="3"/>
  <c r="B15" i="3"/>
  <c r="I12" i="3"/>
  <c r="K11" i="3"/>
  <c r="F16" i="3" l="1"/>
  <c r="H15" i="3"/>
  <c r="L11" i="3"/>
  <c r="M11" i="3"/>
  <c r="I13" i="3"/>
  <c r="K12" i="3"/>
  <c r="A17" i="3"/>
  <c r="B16" i="3"/>
  <c r="M12" i="3" l="1"/>
  <c r="O11" i="3"/>
  <c r="P11" i="3" s="1"/>
  <c r="L12" i="3"/>
  <c r="I14" i="3"/>
  <c r="K13" i="3"/>
  <c r="A18" i="3"/>
  <c r="B17" i="3"/>
  <c r="F17" i="3"/>
  <c r="H16" i="3"/>
  <c r="K14" i="3" l="1"/>
  <c r="I15" i="3"/>
  <c r="M13" i="3"/>
  <c r="F18" i="3"/>
  <c r="H17" i="3"/>
  <c r="L13" i="3"/>
  <c r="O12" i="3"/>
  <c r="P12" i="3" s="1"/>
  <c r="A19" i="3"/>
  <c r="B18" i="3"/>
  <c r="Q11" i="3"/>
  <c r="R11" i="3" s="1"/>
  <c r="F19" i="3" l="1"/>
  <c r="H18" i="3"/>
  <c r="A20" i="3"/>
  <c r="B19" i="3"/>
  <c r="Q12" i="3"/>
  <c r="R12" i="3" s="1"/>
  <c r="O13" i="3"/>
  <c r="P13" i="3" s="1"/>
  <c r="L14" i="3"/>
  <c r="I16" i="3"/>
  <c r="K15" i="3"/>
  <c r="M14" i="3"/>
  <c r="B20" i="3" l="1"/>
  <c r="A21" i="3"/>
  <c r="I17" i="3"/>
  <c r="K16" i="3"/>
  <c r="F20" i="3"/>
  <c r="H19" i="3"/>
  <c r="O14" i="3"/>
  <c r="P14" i="3" s="1"/>
  <c r="L15" i="3"/>
  <c r="Q13" i="3"/>
  <c r="R13" i="3" s="1"/>
  <c r="Q14" i="3"/>
  <c r="R14" i="3" s="1"/>
  <c r="M15" i="3"/>
  <c r="M16" i="3" l="1"/>
  <c r="A22" i="3"/>
  <c r="B21" i="3"/>
  <c r="I18" i="3"/>
  <c r="K17" i="3"/>
  <c r="H20" i="3"/>
  <c r="F21" i="3"/>
  <c r="O15" i="3"/>
  <c r="P15" i="3" s="1"/>
  <c r="L16" i="3"/>
  <c r="F22" i="3" l="1"/>
  <c r="H21" i="3"/>
  <c r="A23" i="3"/>
  <c r="B22" i="3"/>
  <c r="Q15" i="3"/>
  <c r="R15" i="3" s="1"/>
  <c r="M17" i="3"/>
  <c r="L17" i="3"/>
  <c r="O16" i="3"/>
  <c r="P16" i="3" s="1"/>
  <c r="Q17" i="3" s="1"/>
  <c r="R17" i="3" s="1"/>
  <c r="I19" i="3"/>
  <c r="K18" i="3"/>
  <c r="Q16" i="3" l="1"/>
  <c r="R16" i="3" s="1"/>
  <c r="A24" i="3"/>
  <c r="B23" i="3"/>
  <c r="K19" i="3"/>
  <c r="I20" i="3"/>
  <c r="F23" i="3"/>
  <c r="H22" i="3"/>
  <c r="M18" i="3"/>
  <c r="O17" i="3"/>
  <c r="P17" i="3" s="1"/>
  <c r="L18" i="3"/>
  <c r="I21" i="3" l="1"/>
  <c r="K20" i="3"/>
  <c r="H23" i="3"/>
  <c r="F24" i="3"/>
  <c r="Q18" i="3"/>
  <c r="R18" i="3" s="1"/>
  <c r="M19" i="3"/>
  <c r="O18" i="3"/>
  <c r="P18" i="3" s="1"/>
  <c r="Q19" i="3" s="1"/>
  <c r="R19" i="3" s="1"/>
  <c r="L19" i="3"/>
  <c r="B24" i="3"/>
  <c r="A25" i="3"/>
  <c r="B25" i="3" l="1"/>
  <c r="A26" i="3"/>
  <c r="O19" i="3"/>
  <c r="P19" i="3" s="1"/>
  <c r="L20" i="3"/>
  <c r="F25" i="3"/>
  <c r="H24" i="3"/>
  <c r="M20" i="3"/>
  <c r="I22" i="3"/>
  <c r="K21" i="3"/>
  <c r="O20" i="3" l="1"/>
  <c r="P20" i="3" s="1"/>
  <c r="L21" i="3"/>
  <c r="Q20" i="3"/>
  <c r="R20" i="3" s="1"/>
  <c r="Q21" i="3"/>
  <c r="R21" i="3" s="1"/>
  <c r="B26" i="3"/>
  <c r="A27" i="3"/>
  <c r="M21" i="3"/>
  <c r="F26" i="3"/>
  <c r="H25" i="3"/>
  <c r="I23" i="3"/>
  <c r="K22" i="3"/>
  <c r="B27" i="3" l="1"/>
  <c r="A28" i="3"/>
  <c r="I24" i="3"/>
  <c r="K23" i="3"/>
  <c r="O21" i="3"/>
  <c r="P21" i="3" s="1"/>
  <c r="L22" i="3"/>
  <c r="M22" i="3"/>
  <c r="F27" i="3"/>
  <c r="H26" i="3"/>
  <c r="M23" i="3" l="1"/>
  <c r="F28" i="3"/>
  <c r="H27" i="3"/>
  <c r="Q22" i="3"/>
  <c r="R22" i="3" s="1"/>
  <c r="I25" i="3"/>
  <c r="K24" i="3"/>
  <c r="L23" i="3"/>
  <c r="O22" i="3"/>
  <c r="P22" i="3" s="1"/>
  <c r="B28" i="3"/>
  <c r="A29" i="3"/>
  <c r="I26" i="3" l="1"/>
  <c r="K25" i="3"/>
  <c r="L24" i="3"/>
  <c r="O23" i="3"/>
  <c r="P23" i="3" s="1"/>
  <c r="M24" i="3"/>
  <c r="B29" i="3"/>
  <c r="A30" i="3"/>
  <c r="Q23" i="3"/>
  <c r="R23" i="3" s="1"/>
  <c r="F29" i="3"/>
  <c r="H28" i="3"/>
  <c r="M25" i="3" l="1"/>
  <c r="O24" i="3"/>
  <c r="P24" i="3" s="1"/>
  <c r="L25" i="3"/>
  <c r="I27" i="3"/>
  <c r="K26" i="3"/>
  <c r="B30" i="3"/>
  <c r="A31" i="3"/>
  <c r="H29" i="3"/>
  <c r="F30" i="3"/>
  <c r="Q24" i="3"/>
  <c r="R24" i="3" s="1"/>
  <c r="A32" i="3" l="1"/>
  <c r="B31" i="3"/>
  <c r="O25" i="3"/>
  <c r="P25" i="3" s="1"/>
  <c r="L26" i="3"/>
  <c r="Q25" i="3"/>
  <c r="R25" i="3" s="1"/>
  <c r="M26" i="3"/>
  <c r="F31" i="3"/>
  <c r="H30" i="3"/>
  <c r="I28" i="3"/>
  <c r="K27" i="3"/>
  <c r="M27" i="3" l="1"/>
  <c r="F32" i="3"/>
  <c r="H31" i="3"/>
  <c r="K28" i="3"/>
  <c r="I29" i="3"/>
  <c r="L27" i="3"/>
  <c r="O26" i="3"/>
  <c r="P26" i="3" s="1"/>
  <c r="Q26" i="3"/>
  <c r="R26" i="3" s="1"/>
  <c r="B32" i="3"/>
  <c r="A33" i="3"/>
  <c r="M28" i="3" l="1"/>
  <c r="Q27" i="3"/>
  <c r="R27" i="3" s="1"/>
  <c r="O27" i="3"/>
  <c r="P27" i="3" s="1"/>
  <c r="L28" i="3"/>
  <c r="F33" i="3"/>
  <c r="H32" i="3"/>
  <c r="B33" i="3"/>
  <c r="A34" i="3"/>
  <c r="I30" i="3"/>
  <c r="K29" i="3"/>
  <c r="Q28" i="3" l="1"/>
  <c r="R28" i="3" s="1"/>
  <c r="I31" i="3"/>
  <c r="K30" i="3"/>
  <c r="F34" i="3"/>
  <c r="H33" i="3"/>
  <c r="L29" i="3"/>
  <c r="O28" i="3"/>
  <c r="P28" i="3" s="1"/>
  <c r="M29" i="3"/>
  <c r="B34" i="3"/>
  <c r="A35" i="3"/>
  <c r="F35" i="3" l="1"/>
  <c r="H34" i="3"/>
  <c r="M30" i="3"/>
  <c r="I32" i="3"/>
  <c r="K31" i="3"/>
  <c r="L30" i="3"/>
  <c r="O29" i="3"/>
  <c r="P29" i="3" s="1"/>
  <c r="Q29" i="3"/>
  <c r="R29" i="3" s="1"/>
  <c r="B35" i="3"/>
  <c r="A36" i="3"/>
  <c r="I33" i="3" l="1"/>
  <c r="K32" i="3"/>
  <c r="M31" i="3"/>
  <c r="L31" i="3"/>
  <c r="O30" i="3"/>
  <c r="P30" i="3" s="1"/>
  <c r="B36" i="3"/>
  <c r="A37" i="3"/>
  <c r="Q30" i="3"/>
  <c r="R30" i="3" s="1"/>
  <c r="F36" i="3"/>
  <c r="H35" i="3"/>
  <c r="L32" i="3" l="1"/>
  <c r="O31" i="3"/>
  <c r="P31" i="3" s="1"/>
  <c r="Q32" i="3" s="1"/>
  <c r="R32" i="3" s="1"/>
  <c r="M32" i="3"/>
  <c r="Q31" i="3"/>
  <c r="R31" i="3" s="1"/>
  <c r="B37" i="3"/>
  <c r="A38" i="3"/>
  <c r="I34" i="3"/>
  <c r="K33" i="3"/>
  <c r="F37" i="3"/>
  <c r="H36" i="3"/>
  <c r="F38" i="3" l="1"/>
  <c r="H37" i="3"/>
  <c r="L33" i="3"/>
  <c r="O32" i="3"/>
  <c r="P32" i="3" s="1"/>
  <c r="M33" i="3"/>
  <c r="I35" i="3"/>
  <c r="K34" i="3"/>
  <c r="B38" i="3"/>
  <c r="A39" i="3"/>
  <c r="L34" i="3" l="1"/>
  <c r="O33" i="3"/>
  <c r="P33" i="3" s="1"/>
  <c r="M34" i="3"/>
  <c r="I36" i="3"/>
  <c r="K35" i="3"/>
  <c r="Q33" i="3"/>
  <c r="R33" i="3" s="1"/>
  <c r="F39" i="3"/>
  <c r="H38" i="3"/>
  <c r="B39" i="3"/>
  <c r="A40" i="3"/>
  <c r="I37" i="3" l="1"/>
  <c r="K36" i="3"/>
  <c r="B40" i="3"/>
  <c r="A41" i="3"/>
  <c r="M35" i="3"/>
  <c r="F40" i="3"/>
  <c r="H39" i="3"/>
  <c r="Q34" i="3"/>
  <c r="R34" i="3" s="1"/>
  <c r="L35" i="3"/>
  <c r="O34" i="3"/>
  <c r="P34" i="3" s="1"/>
  <c r="F41" i="3" l="1"/>
  <c r="H40" i="3"/>
  <c r="B41" i="3"/>
  <c r="A42" i="3"/>
  <c r="M36" i="3"/>
  <c r="Q35" i="3"/>
  <c r="R35" i="3" s="1"/>
  <c r="L36" i="3"/>
  <c r="O35" i="3"/>
  <c r="P35" i="3" s="1"/>
  <c r="Q36" i="3" s="1"/>
  <c r="R36" i="3" s="1"/>
  <c r="I38" i="3"/>
  <c r="K37" i="3"/>
  <c r="B42" i="3" l="1"/>
  <c r="A43" i="3"/>
  <c r="M37" i="3"/>
  <c r="I39" i="3"/>
  <c r="K38" i="3"/>
  <c r="L37" i="3"/>
  <c r="O36" i="3"/>
  <c r="P36" i="3" s="1"/>
  <c r="H41" i="3"/>
  <c r="F42" i="3"/>
  <c r="I40" i="3" l="1"/>
  <c r="K39" i="3"/>
  <c r="M38" i="3"/>
  <c r="L38" i="3"/>
  <c r="O37" i="3"/>
  <c r="P37" i="3" s="1"/>
  <c r="F43" i="3"/>
  <c r="H42" i="3"/>
  <c r="A44" i="3"/>
  <c r="B43" i="3"/>
  <c r="Q37" i="3"/>
  <c r="R37" i="3" s="1"/>
  <c r="L39" i="3" l="1"/>
  <c r="O38" i="3"/>
  <c r="P38" i="3" s="1"/>
  <c r="M39" i="3"/>
  <c r="Q39" i="3"/>
  <c r="R39" i="3" s="1"/>
  <c r="K40" i="3"/>
  <c r="I41" i="3"/>
  <c r="F44" i="3"/>
  <c r="H43" i="3"/>
  <c r="Q38" i="3"/>
  <c r="R38" i="3" s="1"/>
  <c r="B44" i="3"/>
  <c r="A45" i="3"/>
  <c r="I42" i="3" l="1"/>
  <c r="K41" i="3"/>
  <c r="M40" i="3"/>
  <c r="B45" i="3"/>
  <c r="A46" i="3"/>
  <c r="O39" i="3"/>
  <c r="P39" i="3" s="1"/>
  <c r="L40" i="3"/>
  <c r="F45" i="3"/>
  <c r="H44" i="3"/>
  <c r="Q40" i="3"/>
  <c r="R40" i="3" s="1"/>
  <c r="F46" i="3" l="1"/>
  <c r="H45" i="3"/>
  <c r="L41" i="3"/>
  <c r="O40" i="3"/>
  <c r="P40" i="3" s="1"/>
  <c r="M41" i="3"/>
  <c r="B46" i="3"/>
  <c r="A47" i="3"/>
  <c r="I43" i="3"/>
  <c r="K42" i="3"/>
  <c r="Q41" i="3" l="1"/>
  <c r="R41" i="3" s="1"/>
  <c r="L42" i="3"/>
  <c r="O41" i="3"/>
  <c r="P41" i="3" s="1"/>
  <c r="M42" i="3"/>
  <c r="F47" i="3"/>
  <c r="H46" i="3"/>
  <c r="I44" i="3"/>
  <c r="K43" i="3"/>
  <c r="B47" i="3"/>
  <c r="A48" i="3"/>
  <c r="I45" i="3" l="1"/>
  <c r="K44" i="3"/>
  <c r="Q42" i="3"/>
  <c r="R42" i="3" s="1"/>
  <c r="F48" i="3"/>
  <c r="H47" i="3"/>
  <c r="L43" i="3"/>
  <c r="O42" i="3"/>
  <c r="P42" i="3" s="1"/>
  <c r="B48" i="3"/>
  <c r="A49" i="3"/>
  <c r="M43" i="3"/>
  <c r="F49" i="3" l="1"/>
  <c r="H48" i="3"/>
  <c r="Q43" i="3"/>
  <c r="R43" i="3" s="1"/>
  <c r="L44" i="3"/>
  <c r="O43" i="3"/>
  <c r="P43" i="3" s="1"/>
  <c r="B49" i="3"/>
  <c r="A50" i="3"/>
  <c r="M44" i="3"/>
  <c r="I46" i="3"/>
  <c r="K45" i="3"/>
  <c r="M45" i="3" l="1"/>
  <c r="L45" i="3"/>
  <c r="O44" i="3"/>
  <c r="P44" i="3" s="1"/>
  <c r="I47" i="3"/>
  <c r="K46" i="3"/>
  <c r="Q44" i="3"/>
  <c r="R44" i="3" s="1"/>
  <c r="Q45" i="3"/>
  <c r="R45" i="3" s="1"/>
  <c r="B50" i="3"/>
  <c r="A51" i="3"/>
  <c r="F50" i="3"/>
  <c r="H49" i="3"/>
  <c r="L46" i="3" l="1"/>
  <c r="O45" i="3"/>
  <c r="P45" i="3" s="1"/>
  <c r="M46" i="3"/>
  <c r="I48" i="3"/>
  <c r="K47" i="3"/>
  <c r="F51" i="3"/>
  <c r="H50" i="3"/>
  <c r="B51" i="3"/>
  <c r="A52" i="3"/>
  <c r="Q46" i="3"/>
  <c r="R46" i="3" s="1"/>
  <c r="M47" i="3" l="1"/>
  <c r="I49" i="3"/>
  <c r="K48" i="3"/>
  <c r="L47" i="3"/>
  <c r="O46" i="3"/>
  <c r="P46" i="3" s="1"/>
  <c r="F52" i="3"/>
  <c r="H51" i="3"/>
  <c r="B52" i="3"/>
  <c r="A53" i="3"/>
  <c r="L48" i="3" l="1"/>
  <c r="O47" i="3"/>
  <c r="P47" i="3" s="1"/>
  <c r="F53" i="3"/>
  <c r="H52" i="3"/>
  <c r="M48" i="3"/>
  <c r="Q47" i="3"/>
  <c r="R47" i="3" s="1"/>
  <c r="I50" i="3"/>
  <c r="K49" i="3"/>
  <c r="B53" i="3"/>
  <c r="A54" i="3"/>
  <c r="Q48" i="3" l="1"/>
  <c r="R48" i="3" s="1"/>
  <c r="L49" i="3"/>
  <c r="O48" i="3"/>
  <c r="P48" i="3" s="1"/>
  <c r="M49" i="3"/>
  <c r="F54" i="3"/>
  <c r="H53" i="3"/>
  <c r="I51" i="3"/>
  <c r="K50" i="3"/>
  <c r="B54" i="3"/>
  <c r="A55" i="3"/>
  <c r="M50" i="3" l="1"/>
  <c r="I52" i="3"/>
  <c r="K51" i="3"/>
  <c r="F55" i="3"/>
  <c r="H54" i="3"/>
  <c r="Q49" i="3"/>
  <c r="R49" i="3" s="1"/>
  <c r="L50" i="3"/>
  <c r="O49" i="3"/>
  <c r="P49" i="3" s="1"/>
  <c r="B55" i="3"/>
  <c r="A56" i="3"/>
  <c r="L51" i="3" l="1"/>
  <c r="O50" i="3"/>
  <c r="P50" i="3" s="1"/>
  <c r="Q51" i="3" s="1"/>
  <c r="R51" i="3" s="1"/>
  <c r="F56" i="3"/>
  <c r="H55" i="3"/>
  <c r="M51" i="3"/>
  <c r="I53" i="3"/>
  <c r="K52" i="3"/>
  <c r="B56" i="3"/>
  <c r="A57" i="3"/>
  <c r="Q50" i="3"/>
  <c r="R50" i="3" s="1"/>
  <c r="I54" i="3" l="1"/>
  <c r="K53" i="3"/>
  <c r="M52" i="3"/>
  <c r="F57" i="3"/>
  <c r="H56" i="3"/>
  <c r="B57" i="3"/>
  <c r="A58" i="3"/>
  <c r="L52" i="3"/>
  <c r="O51" i="3"/>
  <c r="P51" i="3" s="1"/>
  <c r="L53" i="3" l="1"/>
  <c r="O52" i="3"/>
  <c r="P52" i="3" s="1"/>
  <c r="B58" i="3"/>
  <c r="A59" i="3"/>
  <c r="F58" i="3"/>
  <c r="H57" i="3"/>
  <c r="Q52" i="3"/>
  <c r="R52" i="3" s="1"/>
  <c r="M53" i="3"/>
  <c r="I55" i="3"/>
  <c r="K54" i="3"/>
  <c r="F59" i="3" l="1"/>
  <c r="H58" i="3"/>
  <c r="L54" i="3"/>
  <c r="O53" i="3"/>
  <c r="P53" i="3" s="1"/>
  <c r="B59" i="3"/>
  <c r="A60" i="3"/>
  <c r="M54" i="3"/>
  <c r="I56" i="3"/>
  <c r="K55" i="3"/>
  <c r="Q53" i="3"/>
  <c r="R53" i="3" s="1"/>
  <c r="B60" i="3" l="1"/>
  <c r="A61" i="3"/>
  <c r="L55" i="3"/>
  <c r="O54" i="3"/>
  <c r="P54" i="3" s="1"/>
  <c r="M55" i="3"/>
  <c r="Q54" i="3"/>
  <c r="R54" i="3" s="1"/>
  <c r="I57" i="3"/>
  <c r="K56" i="3"/>
  <c r="F60" i="3"/>
  <c r="H59" i="3"/>
  <c r="I58" i="3" l="1"/>
  <c r="K57" i="3"/>
  <c r="L56" i="3"/>
  <c r="O55" i="3"/>
  <c r="P55" i="3" s="1"/>
  <c r="F61" i="3"/>
  <c r="H60" i="3"/>
  <c r="B61" i="3"/>
  <c r="A62" i="3"/>
  <c r="Q55" i="3"/>
  <c r="R55" i="3" s="1"/>
  <c r="M56" i="3"/>
  <c r="B62" i="3" l="1"/>
  <c r="A63" i="3"/>
  <c r="L57" i="3"/>
  <c r="O56" i="3"/>
  <c r="P56" i="3" s="1"/>
  <c r="M57" i="3"/>
  <c r="F62" i="3"/>
  <c r="H61" i="3"/>
  <c r="Q56" i="3"/>
  <c r="R56" i="3" s="1"/>
  <c r="I59" i="3"/>
  <c r="K58" i="3"/>
  <c r="L58" i="3" l="1"/>
  <c r="O57" i="3"/>
  <c r="P57" i="3" s="1"/>
  <c r="F63" i="3"/>
  <c r="H62" i="3"/>
  <c r="Q58" i="3"/>
  <c r="R58" i="3" s="1"/>
  <c r="Q57" i="3"/>
  <c r="R57" i="3" s="1"/>
  <c r="M58" i="3"/>
  <c r="B63" i="3"/>
  <c r="A64" i="3"/>
  <c r="I60" i="3"/>
  <c r="K59" i="3"/>
  <c r="M59" i="3" l="1"/>
  <c r="L59" i="3"/>
  <c r="O58" i="3"/>
  <c r="P58" i="3" s="1"/>
  <c r="F64" i="3"/>
  <c r="H63" i="3"/>
  <c r="I61" i="3"/>
  <c r="K60" i="3"/>
  <c r="B64" i="3"/>
  <c r="A65" i="3"/>
  <c r="Q59" i="3" l="1"/>
  <c r="R59" i="3" s="1"/>
  <c r="I62" i="3"/>
  <c r="K61" i="3"/>
  <c r="M60" i="3"/>
  <c r="F65" i="3"/>
  <c r="H64" i="3"/>
  <c r="L60" i="3"/>
  <c r="O59" i="3"/>
  <c r="P59" i="3" s="1"/>
  <c r="Q60" i="3" s="1"/>
  <c r="R60" i="3" s="1"/>
  <c r="B65" i="3"/>
  <c r="A66" i="3"/>
  <c r="I63" i="3" l="1"/>
  <c r="K62" i="3"/>
  <c r="F66" i="3"/>
  <c r="H65" i="3"/>
  <c r="M61" i="3"/>
  <c r="B66" i="3"/>
  <c r="A67" i="3"/>
  <c r="L61" i="3"/>
  <c r="O60" i="3"/>
  <c r="P60" i="3" s="1"/>
  <c r="B67" i="3" l="1"/>
  <c r="A68" i="3"/>
  <c r="F67" i="3"/>
  <c r="H66" i="3"/>
  <c r="Q61" i="3"/>
  <c r="R61" i="3" s="1"/>
  <c r="M62" i="3"/>
  <c r="L62" i="3"/>
  <c r="O61" i="3"/>
  <c r="P61" i="3" s="1"/>
  <c r="I64" i="3"/>
  <c r="K63" i="3"/>
  <c r="F68" i="3" l="1"/>
  <c r="H67" i="3"/>
  <c r="M63" i="3"/>
  <c r="I65" i="3"/>
  <c r="K64" i="3"/>
  <c r="Q62" i="3"/>
  <c r="R62" i="3" s="1"/>
  <c r="B68" i="3"/>
  <c r="A69" i="3"/>
  <c r="L63" i="3"/>
  <c r="O62" i="3"/>
  <c r="P62" i="3" s="1"/>
  <c r="I66" i="3" l="1"/>
  <c r="K65" i="3"/>
  <c r="L64" i="3"/>
  <c r="O63" i="3"/>
  <c r="P63" i="3" s="1"/>
  <c r="M64" i="3"/>
  <c r="Q63" i="3"/>
  <c r="R63" i="3" s="1"/>
  <c r="Q64" i="3"/>
  <c r="R64" i="3" s="1"/>
  <c r="B69" i="3"/>
  <c r="A70" i="3"/>
  <c r="F69" i="3"/>
  <c r="H68" i="3"/>
  <c r="L65" i="3" l="1"/>
  <c r="O64" i="3"/>
  <c r="P64" i="3" s="1"/>
  <c r="B70" i="3"/>
  <c r="A71" i="3"/>
  <c r="F70" i="3"/>
  <c r="H69" i="3"/>
  <c r="M65" i="3"/>
  <c r="I67" i="3"/>
  <c r="K66" i="3"/>
  <c r="L66" i="3" l="1"/>
  <c r="O65" i="3"/>
  <c r="P65" i="3" s="1"/>
  <c r="Q66" i="3"/>
  <c r="R66" i="3" s="1"/>
  <c r="B71" i="3"/>
  <c r="A72" i="3"/>
  <c r="I68" i="3"/>
  <c r="K67" i="3"/>
  <c r="Q65" i="3"/>
  <c r="R65" i="3" s="1"/>
  <c r="F71" i="3"/>
  <c r="H70" i="3"/>
  <c r="M66" i="3"/>
  <c r="I69" i="3" l="1"/>
  <c r="K68" i="3"/>
  <c r="B72" i="3"/>
  <c r="A73" i="3"/>
  <c r="L67" i="3"/>
  <c r="O66" i="3"/>
  <c r="P66" i="3" s="1"/>
  <c r="M67" i="3"/>
  <c r="F72" i="3"/>
  <c r="H71" i="3"/>
  <c r="F73" i="3" l="1"/>
  <c r="H72" i="3"/>
  <c r="L68" i="3"/>
  <c r="O67" i="3"/>
  <c r="P67" i="3" s="1"/>
  <c r="Q67" i="3"/>
  <c r="R67" i="3" s="1"/>
  <c r="B73" i="3"/>
  <c r="A74" i="3"/>
  <c r="M68" i="3"/>
  <c r="I70" i="3"/>
  <c r="K69" i="3"/>
  <c r="B74" i="3" l="1"/>
  <c r="A75" i="3"/>
  <c r="Q68" i="3"/>
  <c r="R68" i="3" s="1"/>
  <c r="I71" i="3"/>
  <c r="K70" i="3"/>
  <c r="M69" i="3"/>
  <c r="L69" i="3"/>
  <c r="O68" i="3"/>
  <c r="P68" i="3" s="1"/>
  <c r="Q69" i="3" s="1"/>
  <c r="R69" i="3" s="1"/>
  <c r="F74" i="3"/>
  <c r="H73" i="3"/>
  <c r="I72" i="3" l="1"/>
  <c r="K71" i="3"/>
  <c r="M70" i="3"/>
  <c r="F75" i="3"/>
  <c r="H74" i="3"/>
  <c r="B75" i="3"/>
  <c r="A76" i="3"/>
  <c r="L70" i="3"/>
  <c r="O69" i="3"/>
  <c r="P69" i="3" s="1"/>
  <c r="L71" i="3" l="1"/>
  <c r="O70" i="3"/>
  <c r="P70" i="3" s="1"/>
  <c r="M71" i="3"/>
  <c r="B76" i="3"/>
  <c r="A77" i="3"/>
  <c r="I73" i="3"/>
  <c r="K72" i="3"/>
  <c r="F76" i="3"/>
  <c r="H75" i="3"/>
  <c r="Q70" i="3"/>
  <c r="R70" i="3" s="1"/>
  <c r="I74" i="3" l="1"/>
  <c r="K73" i="3"/>
  <c r="F77" i="3"/>
  <c r="H76" i="3"/>
  <c r="Q71" i="3"/>
  <c r="R71" i="3" s="1"/>
  <c r="M72" i="3"/>
  <c r="B77" i="3"/>
  <c r="A78" i="3"/>
  <c r="L72" i="3"/>
  <c r="O71" i="3"/>
  <c r="P71" i="3" s="1"/>
  <c r="Q72" i="3" s="1"/>
  <c r="R72" i="3" s="1"/>
  <c r="I75" i="3" l="1"/>
  <c r="K74" i="3"/>
  <c r="F78" i="3"/>
  <c r="H77" i="3"/>
  <c r="A79" i="3"/>
  <c r="B78" i="3"/>
  <c r="L73" i="3"/>
  <c r="O72" i="3"/>
  <c r="P72" i="3" s="1"/>
  <c r="M73" i="3"/>
  <c r="M74" i="3" l="1"/>
  <c r="A80" i="3"/>
  <c r="B79" i="3"/>
  <c r="I76" i="3"/>
  <c r="K75" i="3"/>
  <c r="F79" i="3"/>
  <c r="H78" i="3"/>
  <c r="Q73" i="3"/>
  <c r="R73" i="3" s="1"/>
  <c r="L74" i="3"/>
  <c r="O73" i="3"/>
  <c r="P73" i="3" s="1"/>
  <c r="M75" i="3" l="1"/>
  <c r="F80" i="3"/>
  <c r="H79" i="3"/>
  <c r="I77" i="3"/>
  <c r="K76" i="3"/>
  <c r="B80" i="3"/>
  <c r="A81" i="3"/>
  <c r="L75" i="3"/>
  <c r="O74" i="3"/>
  <c r="P74" i="3" s="1"/>
  <c r="Q74" i="3"/>
  <c r="R74" i="3" s="1"/>
  <c r="I78" i="3" l="1"/>
  <c r="K77" i="3"/>
  <c r="L76" i="3"/>
  <c r="O75" i="3"/>
  <c r="P75" i="3" s="1"/>
  <c r="M76" i="3"/>
  <c r="A82" i="3"/>
  <c r="B81" i="3"/>
  <c r="F81" i="3"/>
  <c r="H80" i="3"/>
  <c r="Q75" i="3"/>
  <c r="R75" i="3" s="1"/>
  <c r="Q76" i="3"/>
  <c r="R76" i="3" s="1"/>
  <c r="F82" i="3" l="1"/>
  <c r="H81" i="3"/>
  <c r="L77" i="3"/>
  <c r="O76" i="3"/>
  <c r="P76" i="3" s="1"/>
  <c r="M77" i="3"/>
  <c r="B82" i="3"/>
  <c r="A83" i="3"/>
  <c r="I79" i="3"/>
  <c r="K78" i="3"/>
  <c r="A84" i="3" l="1"/>
  <c r="B83" i="3"/>
  <c r="Q77" i="3"/>
  <c r="R77" i="3" s="1"/>
  <c r="M78" i="3"/>
  <c r="L78" i="3"/>
  <c r="O77" i="3"/>
  <c r="P77" i="3" s="1"/>
  <c r="I80" i="3"/>
  <c r="K79" i="3"/>
  <c r="F83" i="3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H82" i="3"/>
  <c r="I81" i="3" l="1"/>
  <c r="K80" i="3"/>
  <c r="L79" i="3"/>
  <c r="O78" i="3"/>
  <c r="P78" i="3" s="1"/>
  <c r="Q79" i="3" s="1"/>
  <c r="R79" i="3" s="1"/>
  <c r="Q78" i="3"/>
  <c r="R78" i="3" s="1"/>
  <c r="M79" i="3"/>
  <c r="B84" i="3"/>
  <c r="A85" i="3"/>
  <c r="L80" i="3" l="1"/>
  <c r="O79" i="3"/>
  <c r="P79" i="3" s="1"/>
  <c r="Q80" i="3"/>
  <c r="R80" i="3" s="1"/>
  <c r="M80" i="3"/>
  <c r="A86" i="3"/>
  <c r="B85" i="3"/>
  <c r="I82" i="3"/>
  <c r="K82" i="3" s="1"/>
  <c r="K81" i="3"/>
  <c r="M81" i="3" l="1"/>
  <c r="M82" i="3"/>
  <c r="B86" i="3"/>
  <c r="A87" i="3"/>
  <c r="O80" i="3"/>
  <c r="P80" i="3" s="1"/>
  <c r="L81" i="3"/>
  <c r="A88" i="3" l="1"/>
  <c r="B87" i="3"/>
  <c r="O81" i="3"/>
  <c r="P81" i="3" s="1"/>
  <c r="Q82" i="3" s="1"/>
  <c r="R82" i="3" s="1"/>
  <c r="L82" i="3"/>
  <c r="O82" i="3" s="1"/>
  <c r="P82" i="3" s="1"/>
  <c r="Q81" i="3"/>
  <c r="R81" i="3" s="1"/>
  <c r="B88" i="3" l="1"/>
  <c r="A89" i="3"/>
  <c r="A90" i="3" l="1"/>
  <c r="B89" i="3"/>
  <c r="B90" i="3" l="1"/>
  <c r="A91" i="3"/>
  <c r="A92" i="3" l="1"/>
  <c r="B91" i="3"/>
  <c r="B92" i="3" l="1"/>
  <c r="A93" i="3"/>
  <c r="A94" i="3" l="1"/>
  <c r="B93" i="3"/>
  <c r="B94" i="3" l="1"/>
  <c r="A95" i="3"/>
  <c r="A96" i="3" l="1"/>
  <c r="B95" i="3"/>
  <c r="B96" i="3" l="1"/>
  <c r="A97" i="3"/>
  <c r="A98" i="3" l="1"/>
  <c r="B97" i="3"/>
  <c r="B98" i="3" l="1"/>
  <c r="A99" i="3"/>
  <c r="A100" i="3" l="1"/>
  <c r="B99" i="3"/>
  <c r="B100" i="3" l="1"/>
  <c r="A101" i="3"/>
  <c r="A102" i="3" l="1"/>
  <c r="B101" i="3"/>
  <c r="B102" i="3" l="1"/>
  <c r="A103" i="3"/>
  <c r="A104" i="3" l="1"/>
  <c r="B103" i="3"/>
  <c r="B104" i="3" l="1"/>
  <c r="A105" i="3"/>
  <c r="A106" i="3" l="1"/>
  <c r="B105" i="3"/>
  <c r="B106" i="3" l="1"/>
  <c r="A107" i="3"/>
  <c r="A108" i="3" l="1"/>
  <c r="B107" i="3"/>
  <c r="B108" i="3" l="1"/>
  <c r="A109" i="3"/>
  <c r="A110" i="3" l="1"/>
  <c r="B109" i="3"/>
  <c r="B110" i="3" l="1"/>
  <c r="A111" i="3"/>
  <c r="A112" i="3" l="1"/>
  <c r="B111" i="3"/>
  <c r="B112" i="3" l="1"/>
  <c r="A113" i="3"/>
  <c r="A114" i="3" l="1"/>
  <c r="B113" i="3"/>
  <c r="B114" i="3" l="1"/>
  <c r="A115" i="3"/>
  <c r="A116" i="3" l="1"/>
  <c r="B115" i="3"/>
  <c r="B116" i="3" l="1"/>
  <c r="A117" i="3"/>
  <c r="A118" i="3" l="1"/>
  <c r="B117" i="3"/>
  <c r="B118" i="3" l="1"/>
  <c r="A119" i="3"/>
  <c r="A120" i="3" l="1"/>
  <c r="B119" i="3"/>
  <c r="B120" i="3" l="1"/>
  <c r="A121" i="3"/>
  <c r="A122" i="3" l="1"/>
  <c r="B121" i="3"/>
  <c r="B122" i="3" l="1"/>
  <c r="A123" i="3"/>
  <c r="A124" i="3" l="1"/>
  <c r="B123" i="3"/>
  <c r="B124" i="3" l="1"/>
  <c r="A125" i="3"/>
  <c r="A126" i="3" l="1"/>
  <c r="B125" i="3"/>
  <c r="B126" i="3" l="1"/>
  <c r="A127" i="3"/>
  <c r="A128" i="3" l="1"/>
  <c r="B127" i="3"/>
  <c r="B128" i="3" l="1"/>
  <c r="A129" i="3"/>
  <c r="A130" i="3" l="1"/>
  <c r="B130" i="3" s="1"/>
  <c r="B12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lee</author>
  </authors>
  <commentList>
    <comment ref="H2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chris lee:</t>
        </r>
        <r>
          <rPr>
            <sz val="9"/>
            <color indexed="81"/>
            <rFont val="Tahoma"/>
            <family val="2"/>
          </rPr>
          <t xml:space="preserve">
Demand goes up but the sales factor is the same
</t>
        </r>
      </text>
    </comment>
    <comment ref="G33" authorId="0" shapeId="0" xr:uid="{1CFB50C5-E2F0-441F-AEA2-9F6E539BD3E7}">
      <text>
        <r>
          <rPr>
            <b/>
            <sz val="9"/>
            <color indexed="81"/>
            <rFont val="Tahoma"/>
            <family val="2"/>
          </rPr>
          <t>chris lee:</t>
        </r>
        <r>
          <rPr>
            <sz val="9"/>
            <color indexed="81"/>
            <rFont val="Tahoma"/>
            <family val="2"/>
          </rPr>
          <t xml:space="preserve">
Demand goes up but the sales factor is the same
</t>
        </r>
      </text>
    </comment>
  </commentList>
</comments>
</file>

<file path=xl/sharedStrings.xml><?xml version="1.0" encoding="utf-8"?>
<sst xmlns="http://schemas.openxmlformats.org/spreadsheetml/2006/main" count="1711" uniqueCount="547">
  <si>
    <t>Location</t>
  </si>
  <si>
    <t>Medium</t>
  </si>
  <si>
    <t>High</t>
  </si>
  <si>
    <t>Low</t>
  </si>
  <si>
    <t>Vendor Quality</t>
  </si>
  <si>
    <t>Competition</t>
  </si>
  <si>
    <t>Timing</t>
  </si>
  <si>
    <t>Variable</t>
  </si>
  <si>
    <t>Resturant Type</t>
  </si>
  <si>
    <t>Short Name</t>
  </si>
  <si>
    <t>Start-up Loan</t>
  </si>
  <si>
    <t>Amount</t>
  </si>
  <si>
    <t>Credit Rating</t>
  </si>
  <si>
    <t>Interest Rate</t>
  </si>
  <si>
    <t>Sales Factor</t>
  </si>
  <si>
    <t>Price Factor</t>
  </si>
  <si>
    <t>Retail Price Factor</t>
  </si>
  <si>
    <t>HR Retention Factor</t>
  </si>
  <si>
    <t>Utilities</t>
  </si>
  <si>
    <t>Other Costs</t>
  </si>
  <si>
    <t>Not Used</t>
  </si>
  <si>
    <t>Local Takeout</t>
  </si>
  <si>
    <t>Fast Food Franchise</t>
  </si>
  <si>
    <t>Fast Casual</t>
  </si>
  <si>
    <t>Trendy/Urban</t>
  </si>
  <si>
    <t>Fine Dining Local</t>
  </si>
  <si>
    <t>Fine Dining/High End</t>
  </si>
  <si>
    <t>Minimum Investment</t>
  </si>
  <si>
    <t>Monthly Franchise Fee</t>
  </si>
  <si>
    <t>Food Costs Factor</t>
  </si>
  <si>
    <t>Rent/ Mortgage</t>
  </si>
  <si>
    <t>Mall Food Court</t>
  </si>
  <si>
    <t>Food Truck</t>
  </si>
  <si>
    <t>Investment Factor</t>
  </si>
  <si>
    <t>Cost Factor</t>
  </si>
  <si>
    <t>Traffic Factor</t>
  </si>
  <si>
    <t>Rent Factor</t>
  </si>
  <si>
    <t>Short Text</t>
  </si>
  <si>
    <t>High Income</t>
  </si>
  <si>
    <t>Low Income</t>
  </si>
  <si>
    <t>Yearly</t>
  </si>
  <si>
    <t>Cost</t>
  </si>
  <si>
    <t>Customer Spending</t>
  </si>
  <si>
    <t>Six Months</t>
  </si>
  <si>
    <t>Monthly</t>
  </si>
  <si>
    <t>Employees</t>
  </si>
  <si>
    <t>Hard Working</t>
  </si>
  <si>
    <t>Medium Working</t>
  </si>
  <si>
    <t>Family</t>
  </si>
  <si>
    <t>Menu Choice</t>
  </si>
  <si>
    <t>Chicken</t>
  </si>
  <si>
    <t>Fish</t>
  </si>
  <si>
    <t>Dessert</t>
  </si>
  <si>
    <t>Low Working</t>
  </si>
  <si>
    <t>Loan</t>
  </si>
  <si>
    <t>Unsecured</t>
  </si>
  <si>
    <t>Credit/Car</t>
  </si>
  <si>
    <t>Friends and Family</t>
  </si>
  <si>
    <t>Internet</t>
  </si>
  <si>
    <t>Coupon</t>
  </si>
  <si>
    <t>Flyers</t>
  </si>
  <si>
    <t>Local Newspaper</t>
  </si>
  <si>
    <t>Internet -- Social Media</t>
  </si>
  <si>
    <t>Beef</t>
  </si>
  <si>
    <t>Mac and Cheese</t>
  </si>
  <si>
    <t>Rice</t>
  </si>
  <si>
    <t>Green Bean</t>
  </si>
  <si>
    <t>Sweat Potato</t>
  </si>
  <si>
    <t>Cabbage</t>
  </si>
  <si>
    <t>Pound Cake</t>
  </si>
  <si>
    <t>Price</t>
  </si>
  <si>
    <t xml:space="preserve">Once </t>
  </si>
  <si>
    <t>Once</t>
  </si>
  <si>
    <t>Begin</t>
  </si>
  <si>
    <t>End</t>
  </si>
  <si>
    <t>Population Start</t>
  </si>
  <si>
    <t>Population Growth Rate per year</t>
  </si>
  <si>
    <t>New Customers</t>
  </si>
  <si>
    <t>Not used</t>
  </si>
  <si>
    <t>Repeat Customers</t>
  </si>
  <si>
    <t>Cumulative</t>
  </si>
  <si>
    <t>Repeat Rate</t>
  </si>
  <si>
    <t>Death Rate</t>
  </si>
  <si>
    <t xml:space="preserve">Year </t>
  </si>
  <si>
    <t>Month</t>
  </si>
  <si>
    <t>Population</t>
  </si>
  <si>
    <t>New Customer Rate</t>
  </si>
  <si>
    <t>Total Customers</t>
  </si>
  <si>
    <t>Repeat Customer Rate</t>
  </si>
  <si>
    <t>Loss Rate</t>
  </si>
  <si>
    <t>Lost Customers</t>
  </si>
  <si>
    <t>6MMA</t>
  </si>
  <si>
    <t>Jan</t>
  </si>
  <si>
    <t>Feb</t>
  </si>
  <si>
    <t>Mar</t>
  </si>
  <si>
    <t>Apr</t>
  </si>
  <si>
    <t>May</t>
  </si>
  <si>
    <t>Jun</t>
  </si>
  <si>
    <t>Aug</t>
  </si>
  <si>
    <t>Sep</t>
  </si>
  <si>
    <t>Oct</t>
  </si>
  <si>
    <t>Nov</t>
  </si>
  <si>
    <t>Dec</t>
  </si>
  <si>
    <t>Demand Split</t>
  </si>
  <si>
    <t>Desert</t>
  </si>
  <si>
    <t>Drink</t>
  </si>
  <si>
    <t>01</t>
  </si>
  <si>
    <t>02</t>
  </si>
  <si>
    <t>03</t>
  </si>
  <si>
    <t>04</t>
  </si>
  <si>
    <t>05</t>
  </si>
  <si>
    <t>Key</t>
  </si>
  <si>
    <t>06</t>
  </si>
  <si>
    <t>Local Store Front</t>
  </si>
  <si>
    <t>Three months</t>
  </si>
  <si>
    <t>Three Months</t>
  </si>
  <si>
    <t>Meals per Hour per Employee per Resturant Type</t>
  </si>
  <si>
    <t>Promotion Budget</t>
  </si>
  <si>
    <t>07</t>
  </si>
  <si>
    <t>08</t>
  </si>
  <si>
    <t>09</t>
  </si>
  <si>
    <t>Chicken Dinner</t>
  </si>
  <si>
    <t>Quantity</t>
  </si>
  <si>
    <t>UOM</t>
  </si>
  <si>
    <t>Chicken Portion</t>
  </si>
  <si>
    <t>EA</t>
  </si>
  <si>
    <t>Green Beans</t>
  </si>
  <si>
    <t>Soda</t>
  </si>
  <si>
    <t>Fish Dinner</t>
  </si>
  <si>
    <t>Description</t>
  </si>
  <si>
    <t>Water</t>
  </si>
  <si>
    <t>Middle Income</t>
  </si>
  <si>
    <t>Jul</t>
  </si>
  <si>
    <t>Average Price</t>
  </si>
  <si>
    <t>Fixed</t>
  </si>
  <si>
    <t>Price Elasticity of Demand</t>
  </si>
  <si>
    <t>PED</t>
  </si>
  <si>
    <t>Home Catering</t>
  </si>
  <si>
    <t>Beef Dinner</t>
  </si>
  <si>
    <t>Run #</t>
  </si>
  <si>
    <t>Pork Entrée</t>
  </si>
  <si>
    <t>Beef Entrée</t>
  </si>
  <si>
    <t>Goat Entrée</t>
  </si>
  <si>
    <t>Dinner</t>
  </si>
  <si>
    <t>Mgmt</t>
  </si>
  <si>
    <t>Owner</t>
  </si>
  <si>
    <t>Manager</t>
  </si>
  <si>
    <t>Kitchen Manager</t>
  </si>
  <si>
    <t>Front</t>
  </si>
  <si>
    <t>Server</t>
  </si>
  <si>
    <t>Busboy</t>
  </si>
  <si>
    <t>Bartender</t>
  </si>
  <si>
    <t>Hostess</t>
  </si>
  <si>
    <t>Back</t>
  </si>
  <si>
    <t>Cook</t>
  </si>
  <si>
    <t>Dishwasher</t>
  </si>
  <si>
    <t>Expediter</t>
  </si>
  <si>
    <t>Wage Rate Multipier</t>
  </si>
  <si>
    <t>Rice and Beans</t>
  </si>
  <si>
    <t>Minimum Capital</t>
  </si>
  <si>
    <t>Runtime Statistics</t>
  </si>
  <si>
    <t>Size</t>
  </si>
  <si>
    <t>Position</t>
  </si>
  <si>
    <t>10</t>
  </si>
  <si>
    <t>25</t>
  </si>
  <si>
    <t>50</t>
  </si>
  <si>
    <t>100</t>
  </si>
  <si>
    <t>Container</t>
  </si>
  <si>
    <t>Food Truck Location</t>
  </si>
  <si>
    <t>Demand Factor</t>
  </si>
  <si>
    <t>Suburban Stand Alone</t>
  </si>
  <si>
    <t>Suburban Mall Standalone</t>
  </si>
  <si>
    <t>Star, Hip, or Trendy</t>
  </si>
  <si>
    <t>Suburban - Recreational Park</t>
  </si>
  <si>
    <t>City Street - Regular Neighborhood</t>
  </si>
  <si>
    <t>City - Recreational Park</t>
  </si>
  <si>
    <t>Casual Dining</t>
  </si>
  <si>
    <t>Trendy/Speciality</t>
  </si>
  <si>
    <t>Fine Dining - High End</t>
  </si>
  <si>
    <t>City - Office Buildings</t>
  </si>
  <si>
    <t>Suburban - Retail parking lot</t>
  </si>
  <si>
    <t>Suburban - Industrial Area</t>
  </si>
  <si>
    <t>City - Industrial Area</t>
  </si>
  <si>
    <t>City - Neighborhood</t>
  </si>
  <si>
    <t>City - Downtown</t>
  </si>
  <si>
    <t>Rent</t>
  </si>
  <si>
    <t>Beef Portion</t>
  </si>
  <si>
    <t>Noodle Portion</t>
  </si>
  <si>
    <t>Cheese Portion</t>
  </si>
  <si>
    <t>Spice Mix 2</t>
  </si>
  <si>
    <t>ok, rent is based on square feet which is based on size. Dining needs about 15 square feet per customer. Fast Food 10 sq. feet. Takeout 5. Food Truck 0</t>
  </si>
  <si>
    <t>Square Feet</t>
  </si>
  <si>
    <t>Tres Leches</t>
  </si>
  <si>
    <t>Cocktails</t>
  </si>
  <si>
    <t>Cake Mix</t>
  </si>
  <si>
    <t>LB</t>
  </si>
  <si>
    <t>Traffic</t>
  </si>
  <si>
    <t>Pub / Bistro / Bar</t>
  </si>
  <si>
    <t>Theme</t>
  </si>
  <si>
    <t>old</t>
  </si>
  <si>
    <t>new</t>
  </si>
  <si>
    <t>Prep Time</t>
  </si>
  <si>
    <t>Personnel</t>
  </si>
  <si>
    <t>Time</t>
  </si>
  <si>
    <t>Prep Time Factor</t>
  </si>
  <si>
    <t>Fine Dining</t>
  </si>
  <si>
    <t>Simple</t>
  </si>
  <si>
    <t>Staffing</t>
  </si>
  <si>
    <t>*</t>
  </si>
  <si>
    <t>Promotion Type</t>
  </si>
  <si>
    <t>Promotion</t>
  </si>
  <si>
    <t>Signage</t>
  </si>
  <si>
    <t>Contest / Raffle</t>
  </si>
  <si>
    <t>In-person</t>
  </si>
  <si>
    <t>Pass out card or flyer at Church, old folds home, sports event, and high school football game</t>
  </si>
  <si>
    <t>Survey</t>
  </si>
  <si>
    <t>Traditional</t>
  </si>
  <si>
    <t>On-line</t>
  </si>
  <si>
    <t>Internet search results ad</t>
  </si>
  <si>
    <t>Social media</t>
  </si>
  <si>
    <t>E-mail campaign</t>
  </si>
  <si>
    <t>Local newspaper</t>
  </si>
  <si>
    <t>Mailer with coupon</t>
  </si>
  <si>
    <t>On-site promotion</t>
  </si>
  <si>
    <t>Event with a local rap star, sports figure or celebrity</t>
  </si>
  <si>
    <t>Charity Donation Event</t>
  </si>
  <si>
    <t>Food Festival</t>
  </si>
  <si>
    <t>Physical (In-Store)</t>
  </si>
  <si>
    <t>Daily specials</t>
  </si>
  <si>
    <t xml:space="preserve">Daily Specials  </t>
  </si>
  <si>
    <t>Happy Hour</t>
  </si>
  <si>
    <t>Contest</t>
  </si>
  <si>
    <t>Search Ad</t>
  </si>
  <si>
    <t>e-Mail Blast</t>
  </si>
  <si>
    <t>Celebrity Event</t>
  </si>
  <si>
    <t>Charity Event</t>
  </si>
  <si>
    <t>Cookout, cook-off</t>
  </si>
  <si>
    <t>Community cookout, cook-off</t>
  </si>
  <si>
    <t>Frequent Guest</t>
  </si>
  <si>
    <t>Frequent Guest Discount</t>
  </si>
  <si>
    <t>Hours per Month</t>
  </si>
  <si>
    <t>Custom Daily Menu</t>
  </si>
  <si>
    <t>Minimum staff before losing sales and reputation</t>
  </si>
  <si>
    <t>Employee Productivity Factor</t>
  </si>
  <si>
    <t>Chart #</t>
  </si>
  <si>
    <t>Employee Time</t>
  </si>
  <si>
    <t>Increase</t>
  </si>
  <si>
    <t xml:space="preserve">Sales  </t>
  </si>
  <si>
    <t xml:space="preserve">Liquor  </t>
  </si>
  <si>
    <t xml:space="preserve">Demand </t>
  </si>
  <si>
    <t>Decay</t>
  </si>
  <si>
    <t>Rate</t>
  </si>
  <si>
    <t>Complex</t>
  </si>
  <si>
    <t>Customer Type</t>
  </si>
  <si>
    <t>Noches de Columbia</t>
  </si>
  <si>
    <t>Typical Hours</t>
  </si>
  <si>
    <t>Start Price</t>
  </si>
  <si>
    <t>Key2</t>
  </si>
  <si>
    <t>Comment: I am guessing the program will take about 1000 runs to get right. Ha ha</t>
  </si>
  <si>
    <t>Appetizer</t>
  </si>
  <si>
    <t>Catfish Bites</t>
  </si>
  <si>
    <t>Chicken Wings</t>
  </si>
  <si>
    <t>Collard Greens</t>
  </si>
  <si>
    <t>Baked Potato</t>
  </si>
  <si>
    <t>Mashed Potato</t>
  </si>
  <si>
    <t>Sweet Potato</t>
  </si>
  <si>
    <t>Fried Chicken Dinner</t>
  </si>
  <si>
    <t>BBQ Pork Ribs</t>
  </si>
  <si>
    <t>BBQ Beef Ribs</t>
  </si>
  <si>
    <t>Category 2</t>
  </si>
  <si>
    <t>NY Strip Steak</t>
  </si>
  <si>
    <t>Salmon</t>
  </si>
  <si>
    <t>Pork Chops</t>
  </si>
  <si>
    <t>Generation Y</t>
  </si>
  <si>
    <t xml:space="preserve">Generation X </t>
  </si>
  <si>
    <t>Baby Boomers</t>
  </si>
  <si>
    <t>Empty Nesters</t>
  </si>
  <si>
    <t>Seniors</t>
  </si>
  <si>
    <t xml:space="preserve">Bakery   </t>
  </si>
  <si>
    <t>Vegetarian</t>
  </si>
  <si>
    <t>Local</t>
  </si>
  <si>
    <t>Farm to table</t>
  </si>
  <si>
    <t>Operating Cost Factor</t>
  </si>
  <si>
    <t>Typical Days</t>
  </si>
  <si>
    <t>New Plus Repeat</t>
  </si>
  <si>
    <t xml:space="preserve">Repeat </t>
  </si>
  <si>
    <t>Customers</t>
  </si>
  <si>
    <t>Margin</t>
  </si>
  <si>
    <t>Covers per labor hour</t>
  </si>
  <si>
    <t>Version #</t>
  </si>
  <si>
    <t>Date #</t>
  </si>
  <si>
    <t>Family Resturant</t>
  </si>
  <si>
    <t>covers per hour</t>
  </si>
  <si>
    <t>Not researched</t>
  </si>
  <si>
    <t>Not researched - subway</t>
  </si>
  <si>
    <t>200 people from food truck is not available</t>
  </si>
  <si>
    <t xml:space="preserve">Skelton crew </t>
  </si>
  <si>
    <t>No job assignments or personel issues</t>
  </si>
  <si>
    <t>Same pay</t>
  </si>
  <si>
    <t>200 Seats</t>
  </si>
  <si>
    <t>Seatings</t>
  </si>
  <si>
    <t>Death</t>
  </si>
  <si>
    <t>Repeat</t>
  </si>
  <si>
    <t xml:space="preserve">New  </t>
  </si>
  <si>
    <t>Demand Column</t>
  </si>
  <si>
    <t>Zero</t>
  </si>
  <si>
    <t>Plates</t>
  </si>
  <si>
    <t>200</t>
  </si>
  <si>
    <t>1</t>
  </si>
  <si>
    <t>2</t>
  </si>
  <si>
    <t>3</t>
  </si>
  <si>
    <t>4</t>
  </si>
  <si>
    <t>5</t>
  </si>
  <si>
    <t xml:space="preserve"> -1 = unlimited</t>
  </si>
  <si>
    <t>Plates per hour</t>
  </si>
  <si>
    <t>Basic Game Plan</t>
  </si>
  <si>
    <t>Dwell Time Mins</t>
  </si>
  <si>
    <t>Typical Cover Capacity for a month</t>
  </si>
  <si>
    <t>Take Away Only</t>
  </si>
  <si>
    <t>Takeout</t>
  </si>
  <si>
    <t>SF/YR</t>
  </si>
  <si>
    <t>Base Rent per Sq. Foot per month</t>
  </si>
  <si>
    <t>teaneck</t>
  </si>
  <si>
    <t>Old EPF</t>
  </si>
  <si>
    <t>Physical Capacity Check</t>
  </si>
  <si>
    <t>Fast Food Franchise-High End</t>
  </si>
  <si>
    <t>Fast Food Franchise-Low End</t>
  </si>
  <si>
    <t>Delivery Only</t>
  </si>
  <si>
    <t>All</t>
  </si>
  <si>
    <t>Ghost Kitchen</t>
  </si>
  <si>
    <t>Meals</t>
  </si>
  <si>
    <t>Measure</t>
  </si>
  <si>
    <t>Daily</t>
  </si>
  <si>
    <t>New Customers Rate</t>
  </si>
  <si>
    <t>Repeat Customers Rate</t>
  </si>
  <si>
    <t>Vegan</t>
  </si>
  <si>
    <t>Demand</t>
  </si>
  <si>
    <t>Anytime</t>
  </si>
  <si>
    <t>Projects</t>
  </si>
  <si>
    <t>Time(Months)</t>
  </si>
  <si>
    <t>Per Month</t>
  </si>
  <si>
    <t>Expand</t>
  </si>
  <si>
    <t>Move</t>
  </si>
  <si>
    <t>Purchase Building</t>
  </si>
  <si>
    <t>Buy Equipment</t>
  </si>
  <si>
    <t>Add Food Truck</t>
  </si>
  <si>
    <t>Upgrade Oven</t>
  </si>
  <si>
    <t>Automatic Dishwasher</t>
  </si>
  <si>
    <t>Expand Refridgerator</t>
  </si>
  <si>
    <t>Redecorate</t>
  </si>
  <si>
    <t>New POS</t>
  </si>
  <si>
    <t>Add more seats</t>
  </si>
  <si>
    <t>Marketing Research</t>
  </si>
  <si>
    <t>Delivery Service</t>
  </si>
  <si>
    <t>Web-Site</t>
  </si>
  <si>
    <t>Employee Training</t>
  </si>
  <si>
    <t>Base Cost</t>
  </si>
  <si>
    <t>Decrease</t>
  </si>
  <si>
    <t>Default Size</t>
  </si>
  <si>
    <t>Social Media</t>
  </si>
  <si>
    <t>Beer</t>
  </si>
  <si>
    <t>Potatoes</t>
  </si>
  <si>
    <t>Spice Mix</t>
  </si>
  <si>
    <t>Macaroni</t>
  </si>
  <si>
    <t xml:space="preserve">Cheese  </t>
  </si>
  <si>
    <t>Containers</t>
  </si>
  <si>
    <t>Mixing Bowl</t>
  </si>
  <si>
    <t>Asset</t>
  </si>
  <si>
    <t>Y</t>
  </si>
  <si>
    <t>Knives</t>
  </si>
  <si>
    <t>Steak</t>
  </si>
  <si>
    <t>GA</t>
  </si>
  <si>
    <t>BT</t>
  </si>
  <si>
    <t>Serving Cups</t>
  </si>
  <si>
    <t xml:space="preserve">EA </t>
  </si>
  <si>
    <t>Black Beans</t>
  </si>
  <si>
    <t>Conversion Rate</t>
  </si>
  <si>
    <t>Demand to Sales Conversion Rate</t>
  </si>
  <si>
    <t>Average Wage Rate</t>
  </si>
  <si>
    <t>Prevailing wage in area</t>
  </si>
  <si>
    <t>Price elasticity of demand -- 1% increase in price is 1% decrease in sales</t>
  </si>
  <si>
    <t>Annual Interest Rate</t>
  </si>
  <si>
    <t>GDP Growth Rate</t>
  </si>
  <si>
    <t>Quit Rate</t>
  </si>
  <si>
    <t>ShirkRate</t>
  </si>
  <si>
    <t>Seats</t>
  </si>
  <si>
    <t>Medium(35 Seats)</t>
  </si>
  <si>
    <t>Tiny (10 Seats)</t>
  </si>
  <si>
    <t>Small (20 Seats)</t>
  </si>
  <si>
    <t>Large (50 Seats)</t>
  </si>
  <si>
    <t>Extra Large (100 Seats)</t>
  </si>
  <si>
    <t>Secure Asset Purchase</t>
  </si>
  <si>
    <t>Store</t>
  </si>
  <si>
    <t>Effect Level</t>
  </si>
  <si>
    <t>Beverage</t>
  </si>
  <si>
    <t>Food</t>
  </si>
  <si>
    <t>Item Number</t>
  </si>
  <si>
    <t>Order Size</t>
  </si>
  <si>
    <t>???</t>
  </si>
  <si>
    <t>??</t>
  </si>
  <si>
    <t>Comment</t>
  </si>
  <si>
    <t>Catalog Number</t>
  </si>
  <si>
    <t>Storage</t>
  </si>
  <si>
    <t>Alcohol</t>
  </si>
  <si>
    <t>Cold Fresh</t>
  </si>
  <si>
    <t>Cold</t>
  </si>
  <si>
    <t>Supplies</t>
  </si>
  <si>
    <t>Cake</t>
  </si>
  <si>
    <t>Lock and Key ?</t>
  </si>
  <si>
    <t>Component Number</t>
  </si>
  <si>
    <t>Overhead</t>
  </si>
  <si>
    <t>Purchased</t>
  </si>
  <si>
    <t>Goat Portion</t>
  </si>
  <si>
    <t>Onions</t>
  </si>
  <si>
    <t>Tomatoes</t>
  </si>
  <si>
    <t>Vegatable Oil</t>
  </si>
  <si>
    <t>LT</t>
  </si>
  <si>
    <t>Catfish Portion</t>
  </si>
  <si>
    <t>Catfish Dinner</t>
  </si>
  <si>
    <t>Dinner, Entrée</t>
  </si>
  <si>
    <t>Side</t>
  </si>
  <si>
    <t>Appetizer,Salad</t>
  </si>
  <si>
    <t>House Salad</t>
  </si>
  <si>
    <t>Salad</t>
  </si>
  <si>
    <t>Category 3</t>
  </si>
  <si>
    <t>Entree</t>
  </si>
  <si>
    <t>Cocktail</t>
  </si>
  <si>
    <t>Number</t>
  </si>
  <si>
    <t>License Required</t>
  </si>
  <si>
    <t>Required</t>
  </si>
  <si>
    <t>Second Location</t>
  </si>
  <si>
    <t>Available</t>
  </si>
  <si>
    <t>N</t>
  </si>
  <si>
    <t>Change Food Menu</t>
  </si>
  <si>
    <t>Change Drink Menu</t>
  </si>
  <si>
    <t xml:space="preserve">Delivery  </t>
  </si>
  <si>
    <t>ID</t>
  </si>
  <si>
    <t>Project Type</t>
  </si>
  <si>
    <t>Capital</t>
  </si>
  <si>
    <t>Expense</t>
  </si>
  <si>
    <t>Employee Hours</t>
  </si>
  <si>
    <t>Duration</t>
  </si>
  <si>
    <t>Cutlery</t>
  </si>
  <si>
    <t>Vegetable Oil</t>
  </si>
  <si>
    <t>Mexican</t>
  </si>
  <si>
    <t>Tacos</t>
  </si>
  <si>
    <t>Red Beans</t>
  </si>
  <si>
    <t>Yes</t>
  </si>
  <si>
    <t>No</t>
  </si>
  <si>
    <t>&lt;= if you add more recipies update the range "recipies"</t>
  </si>
  <si>
    <t>All purchased items must be in catalog</t>
  </si>
  <si>
    <t>This is actuall starting inventory</t>
  </si>
  <si>
    <t>Auto Replenishment Level</t>
  </si>
  <si>
    <t>New Purchases</t>
  </si>
  <si>
    <t>Inventory</t>
  </si>
  <si>
    <t>Cashflow</t>
  </si>
  <si>
    <t>Reputation Score</t>
  </si>
  <si>
    <t>Customer Satisfaction</t>
  </si>
  <si>
    <t>Employee Happiness</t>
  </si>
  <si>
    <t>Sales below capacity 21.83%</t>
  </si>
  <si>
    <t>Sales of Chicken Dinner were reduced by 207.5 due to inventory shortage in month: 1</t>
  </si>
  <si>
    <t>Sales of Fish Dinner were reduced by 207.5 due to inventory shortage in month: 1</t>
  </si>
  <si>
    <t>Sales of Mac and Cheese were reduced by 415 due to inventory shortage in month: 1</t>
  </si>
  <si>
    <t>Cost of Labor</t>
  </si>
  <si>
    <t>Staff Level</t>
  </si>
  <si>
    <t>Wage Rate</t>
  </si>
  <si>
    <t>Monthly Hours</t>
  </si>
  <si>
    <t>Monthly Cost</t>
  </si>
  <si>
    <t>Total Labor Cost</t>
  </si>
  <si>
    <t>Total Direct Cost</t>
  </si>
  <si>
    <t>Gross Profit</t>
  </si>
  <si>
    <t>Indirect Costs</t>
  </si>
  <si>
    <t>Inv. Carry Costs and Waste</t>
  </si>
  <si>
    <t>Rent: City - Downtown</t>
  </si>
  <si>
    <t>Equipment Rental</t>
  </si>
  <si>
    <t>Insurance</t>
  </si>
  <si>
    <t>Other Expense</t>
  </si>
  <si>
    <t>Total Indirect Cost</t>
  </si>
  <si>
    <t>Net Profit/Net Loss</t>
  </si>
  <si>
    <t>Friends &amp; Family Equity Loss (85.32%)</t>
  </si>
  <si>
    <t>Retained Earnings</t>
  </si>
  <si>
    <t>February, 2023 -- Balance Sheet</t>
  </si>
  <si>
    <t>Assets</t>
  </si>
  <si>
    <t>Cash Balance</t>
  </si>
  <si>
    <t>Other Assets</t>
  </si>
  <si>
    <t>Liabilities</t>
  </si>
  <si>
    <t>Owners Equity</t>
  </si>
  <si>
    <t>Sales of Chicken Dinner were reduced by 215 due to inventory shortage in month: 1</t>
  </si>
  <si>
    <t>Sales of Fish Dinner were reduced by 215 due to inventory shortage in month: 1</t>
  </si>
  <si>
    <t>Perishable</t>
  </si>
  <si>
    <t>Local Mailer with coupon</t>
  </si>
  <si>
    <t>feb  12 2023</t>
  </si>
  <si>
    <t>Category 1</t>
  </si>
  <si>
    <t>PED for wages -- Each percent the wage is below the prevailing wage reduces productivity by the same amount</t>
  </si>
  <si>
    <t>Percent who quit every year</t>
  </si>
  <si>
    <t>0.200.0</t>
  </si>
  <si>
    <t>Growth Rate -- also the inflation rate</t>
  </si>
  <si>
    <t>Fish Portion</t>
  </si>
  <si>
    <t>Ambiant</t>
  </si>
  <si>
    <t>Suburban Store Front</t>
  </si>
  <si>
    <t>Anything (Continential)</t>
  </si>
  <si>
    <t>Spanish Food</t>
  </si>
  <si>
    <t>Italian</t>
  </si>
  <si>
    <t>Pizzaria</t>
  </si>
  <si>
    <t>Soul Food</t>
  </si>
  <si>
    <t>Chinese</t>
  </si>
  <si>
    <t>Mexican - Traditional</t>
  </si>
  <si>
    <t>Mexican - Tacos and Burritos</t>
  </si>
  <si>
    <t>Jamaican</t>
  </si>
  <si>
    <t>Japanese Sushi</t>
  </si>
  <si>
    <t>Korean Noodle House</t>
  </si>
  <si>
    <t>Dominican Food</t>
  </si>
  <si>
    <t>Bakery / Empanadas</t>
  </si>
  <si>
    <t>Burgers, Fries and Shakes</t>
  </si>
  <si>
    <t>Chicken / Wings</t>
  </si>
  <si>
    <t>Breakfast Only</t>
  </si>
  <si>
    <t>Lunch Only</t>
  </si>
  <si>
    <t>Seafood</t>
  </si>
  <si>
    <t>Mideastern</t>
  </si>
  <si>
    <t xml:space="preserve">Hawaiian </t>
  </si>
  <si>
    <t>Delicatessen</t>
  </si>
  <si>
    <t>Wine and Cheese Bar</t>
  </si>
  <si>
    <t>Columbian</t>
  </si>
  <si>
    <t>Steakhouse</t>
  </si>
  <si>
    <t>Family Style Italian</t>
  </si>
  <si>
    <t>Family Style Spanish</t>
  </si>
  <si>
    <t>Sandwich/Delicatessen</t>
  </si>
  <si>
    <t>Coffehouse</t>
  </si>
  <si>
    <t>Pork Portion</t>
  </si>
  <si>
    <t xml:space="preserve">Rice  </t>
  </si>
  <si>
    <t>Need to auto update receipies</t>
  </si>
  <si>
    <t>Maybe 3000</t>
  </si>
  <si>
    <t>&lt;=== Update range catalog</t>
  </si>
  <si>
    <t>White Potatoes</t>
  </si>
  <si>
    <t>Butter</t>
  </si>
  <si>
    <t>Mixed Vegatables</t>
  </si>
  <si>
    <t>Price Per Order Unit</t>
  </si>
  <si>
    <t>April 7th, 2024</t>
  </si>
  <si>
    <t>0.213.0</t>
  </si>
  <si>
    <t>Date</t>
  </si>
  <si>
    <t>Version</t>
  </si>
  <si>
    <t xml:space="preserve">Remove Cost from Menu. </t>
  </si>
  <si>
    <t>There should be only one place to get cost, the BOM. I wasted a month on this.</t>
  </si>
  <si>
    <t>should have receipe</t>
  </si>
  <si>
    <t>Hot Sauce</t>
  </si>
  <si>
    <t>Expand Freezer</t>
  </si>
  <si>
    <t>Catering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</si>
</sst>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00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wrapText="1"/>
    </xf>
    <xf numFmtId="9" fontId="0" fillId="0" borderId="0" xfId="0" applyNumberFormat="1"/>
    <xf numFmtId="1" fontId="0" fillId="0" borderId="0" xfId="0" applyNumberFormat="1"/>
    <xf numFmtId="1" fontId="0" fillId="0" borderId="0" xfId="1" applyNumberFormat="1" applyFont="1"/>
    <xf numFmtId="1" fontId="0" fillId="2" borderId="0" xfId="0" applyNumberFormat="1" applyFill="1"/>
    <xf numFmtId="0" fontId="0" fillId="2" borderId="0" xfId="0" applyFill="1"/>
    <xf numFmtId="0" fontId="0" fillId="2" borderId="1" xfId="0" applyFill="1" applyBorder="1"/>
    <xf numFmtId="1" fontId="0" fillId="2" borderId="1" xfId="0" applyNumberFormat="1" applyFill="1" applyBorder="1"/>
    <xf numFmtId="0" fontId="0" fillId="3" borderId="0" xfId="0" applyFill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0" fillId="0" borderId="0" xfId="0" quotePrefix="1" applyNumberFormat="1" applyAlignment="1">
      <alignment horizontal="center"/>
    </xf>
    <xf numFmtId="9" fontId="0" fillId="0" borderId="0" xfId="2" applyFont="1"/>
    <xf numFmtId="2" fontId="0" fillId="0" borderId="0" xfId="0" applyNumberFormat="1"/>
    <xf numFmtId="0" fontId="0" fillId="0" borderId="0" xfId="0" quotePrefix="1"/>
    <xf numFmtId="6" fontId="0" fillId="0" borderId="0" xfId="0" applyNumberFormat="1"/>
    <xf numFmtId="0" fontId="2" fillId="0" borderId="0" xfId="0" applyFont="1"/>
    <xf numFmtId="1" fontId="2" fillId="0" borderId="0" xfId="0" applyNumberFormat="1" applyFont="1"/>
    <xf numFmtId="1" fontId="0" fillId="3" borderId="0" xfId="0" applyNumberFormat="1" applyFill="1"/>
    <xf numFmtId="164" fontId="0" fillId="0" borderId="0" xfId="0" applyNumberFormat="1"/>
    <xf numFmtId="43" fontId="0" fillId="0" borderId="0" xfId="1" applyFont="1"/>
    <xf numFmtId="43" fontId="0" fillId="2" borderId="1" xfId="1" applyFont="1" applyFill="1" applyBorder="1"/>
    <xf numFmtId="8" fontId="0" fillId="0" borderId="0" xfId="0" applyNumberFormat="1"/>
    <xf numFmtId="165" fontId="0" fillId="0" borderId="0" xfId="1" applyNumberFormat="1" applyFont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4" fontId="0" fillId="0" borderId="0" xfId="0" applyNumberFormat="1"/>
    <xf numFmtId="1" fontId="0" fillId="4" borderId="0" xfId="0" applyNumberFormat="1" applyFill="1"/>
    <xf numFmtId="165" fontId="0" fillId="4" borderId="0" xfId="1" applyNumberFormat="1" applyFont="1" applyFill="1"/>
    <xf numFmtId="0" fontId="0" fillId="4" borderId="0" xfId="0" applyFill="1" applyAlignment="1">
      <alignment wrapText="1"/>
    </xf>
    <xf numFmtId="0" fontId="0" fillId="5" borderId="0" xfId="0" applyFill="1"/>
    <xf numFmtId="10" fontId="0" fillId="0" borderId="0" xfId="0" applyNumberFormat="1"/>
    <xf numFmtId="9" fontId="2" fillId="0" borderId="0" xfId="2" applyFont="1"/>
    <xf numFmtId="3" fontId="0" fillId="0" borderId="0" xfId="0" applyNumberFormat="1"/>
    <xf numFmtId="0" fontId="0" fillId="6" borderId="0" xfId="0" applyFill="1"/>
    <xf numFmtId="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Demand!$Q$11:$Q$70</c:f>
              <c:numCache>
                <c:formatCode>General</c:formatCode>
                <c:ptCount val="60"/>
                <c:pt idx="0" formatCode="0">
                  <c:v>1270</c:v>
                </c:pt>
                <c:pt idx="1">
                  <c:v>1390</c:v>
                </c:pt>
                <c:pt idx="2">
                  <c:v>1500</c:v>
                </c:pt>
                <c:pt idx="3">
                  <c:v>1536.5</c:v>
                </c:pt>
                <c:pt idx="4">
                  <c:v>1578.8</c:v>
                </c:pt>
                <c:pt idx="5">
                  <c:v>1620</c:v>
                </c:pt>
                <c:pt idx="6" formatCode="0">
                  <c:v>1620</c:v>
                </c:pt>
                <c:pt idx="7" formatCode="0">
                  <c:v>1629</c:v>
                </c:pt>
                <c:pt idx="8" formatCode="0">
                  <c:v>1603.3333333333333</c:v>
                </c:pt>
                <c:pt idx="9" formatCode="0">
                  <c:v>1546.6666666666667</c:v>
                </c:pt>
                <c:pt idx="10" formatCode="0">
                  <c:v>1465.4444444444443</c:v>
                </c:pt>
                <c:pt idx="11" formatCode="0">
                  <c:v>1396.3333333333333</c:v>
                </c:pt>
                <c:pt idx="12" formatCode="0">
                  <c:v>1327.5555555555557</c:v>
                </c:pt>
                <c:pt idx="13" formatCode="0">
                  <c:v>1354.2222222222224</c:v>
                </c:pt>
                <c:pt idx="14" formatCode="0">
                  <c:v>1389.5555555555557</c:v>
                </c:pt>
                <c:pt idx="15" formatCode="0">
                  <c:v>1434.8888888888889</c:v>
                </c:pt>
                <c:pt idx="16" formatCode="0">
                  <c:v>1531.1111111111113</c:v>
                </c:pt>
                <c:pt idx="17" formatCode="0">
                  <c:v>1612.2222222222224</c:v>
                </c:pt>
                <c:pt idx="18" formatCode="0">
                  <c:v>1694</c:v>
                </c:pt>
                <c:pt idx="19" formatCode="0">
                  <c:v>1778</c:v>
                </c:pt>
                <c:pt idx="20" formatCode="0">
                  <c:v>1862</c:v>
                </c:pt>
                <c:pt idx="21" formatCode="0">
                  <c:v>1946</c:v>
                </c:pt>
                <c:pt idx="22" formatCode="0">
                  <c:v>2030</c:v>
                </c:pt>
                <c:pt idx="23" formatCode="0">
                  <c:v>2114</c:v>
                </c:pt>
                <c:pt idx="24" formatCode="0">
                  <c:v>2198</c:v>
                </c:pt>
                <c:pt idx="25" formatCode="0">
                  <c:v>2195.3166666666666</c:v>
                </c:pt>
                <c:pt idx="26" formatCode="0">
                  <c:v>2189.6583333333333</c:v>
                </c:pt>
                <c:pt idx="27" formatCode="0">
                  <c:v>2181.0249999999996</c:v>
                </c:pt>
                <c:pt idx="28" formatCode="0">
                  <c:v>2169.4166666666665</c:v>
                </c:pt>
                <c:pt idx="29" formatCode="0">
                  <c:v>2154.833333333333</c:v>
                </c:pt>
                <c:pt idx="30" formatCode="0">
                  <c:v>2137.2750000000001</c:v>
                </c:pt>
                <c:pt idx="31" formatCode="0">
                  <c:v>2203.4249999999997</c:v>
                </c:pt>
                <c:pt idx="32" formatCode="0">
                  <c:v>2269.5749999999994</c:v>
                </c:pt>
                <c:pt idx="33" formatCode="0">
                  <c:v>2335.7249999999999</c:v>
                </c:pt>
                <c:pt idx="34" formatCode="0">
                  <c:v>2401.8749999999995</c:v>
                </c:pt>
                <c:pt idx="35" formatCode="0">
                  <c:v>2468.0250000000001</c:v>
                </c:pt>
                <c:pt idx="36" formatCode="0">
                  <c:v>2534.1749999999997</c:v>
                </c:pt>
                <c:pt idx="37" formatCode="0">
                  <c:v>2599.9575</c:v>
                </c:pt>
                <c:pt idx="38" formatCode="0">
                  <c:v>2666.2912499999998</c:v>
                </c:pt>
                <c:pt idx="39" formatCode="0">
                  <c:v>2733.17625</c:v>
                </c:pt>
                <c:pt idx="40" formatCode="0">
                  <c:v>2800.6124999999997</c:v>
                </c:pt>
                <c:pt idx="41" formatCode="0">
                  <c:v>2868.6</c:v>
                </c:pt>
                <c:pt idx="42" formatCode="0">
                  <c:v>2937.1387499999996</c:v>
                </c:pt>
                <c:pt idx="43" formatCode="0">
                  <c:v>3006.5962499999991</c:v>
                </c:pt>
                <c:pt idx="44" formatCode="0">
                  <c:v>3076.0537499999996</c:v>
                </c:pt>
                <c:pt idx="45" formatCode="0">
                  <c:v>3145.5112499999996</c:v>
                </c:pt>
                <c:pt idx="46" formatCode="0">
                  <c:v>3214.9687499999995</c:v>
                </c:pt>
                <c:pt idx="47" formatCode="0">
                  <c:v>3284.4262499999991</c:v>
                </c:pt>
                <c:pt idx="48" formatCode="0">
                  <c:v>3353.8837499999986</c:v>
                </c:pt>
                <c:pt idx="49" formatCode="0">
                  <c:v>3422.9553749999982</c:v>
                </c:pt>
                <c:pt idx="50" formatCode="0">
                  <c:v>3492.6058124999986</c:v>
                </c:pt>
                <c:pt idx="51" formatCode="0">
                  <c:v>3562.835062499998</c:v>
                </c:pt>
                <c:pt idx="52" formatCode="0">
                  <c:v>3633.6431249999982</c:v>
                </c:pt>
                <c:pt idx="53" formatCode="0">
                  <c:v>3705.0299999999975</c:v>
                </c:pt>
                <c:pt idx="54" formatCode="0">
                  <c:v>3776.9956874999975</c:v>
                </c:pt>
                <c:pt idx="55" formatCode="0">
                  <c:v>3849.9260624999974</c:v>
                </c:pt>
                <c:pt idx="56" formatCode="0">
                  <c:v>3922.8564374999974</c:v>
                </c:pt>
                <c:pt idx="57" formatCode="0">
                  <c:v>3995.7868124999973</c:v>
                </c:pt>
                <c:pt idx="58" formatCode="0">
                  <c:v>4068.7171874999972</c:v>
                </c:pt>
                <c:pt idx="59" formatCode="0">
                  <c:v>4141.6475624999975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4-4901-98B3-0A3F41221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2875616"/>
        <c:axId val="1112874368"/>
      </c:lineChart>
      <c:catAx>
        <c:axId val="1112875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74368"/>
        <c:crosses val="autoZero"/>
        <c:auto val="1"/>
        <c:lblAlgn val="ctr"/>
        <c:lblOffset val="100"/>
        <c:noMultiLvlLbl val="0"/>
      </c:catAx>
      <c:valAx>
        <c:axId val="111287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7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279400</xdr:colOff>
      <xdr:row>63</xdr:row>
      <xdr:rowOff>173566</xdr:rowOff>
    </xdr:from>
    <xdr:to>
      <xdr:col>25</xdr:col>
      <xdr:colOff>584200</xdr:colOff>
      <xdr:row>78</xdr:row>
      <xdr:rowOff>122766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1B5B70-D3A7-13B9-1013-4AB3B3A1A5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16"/>
  <sheetViews>
    <sheetView tabSelected="1" topLeftCell="A2" workbookViewId="0">
      <selection activeCell="L6" sqref="L6"/>
    </sheetView>
  </sheetViews>
  <sheetFormatPr defaultRowHeight="14.4" x14ac:dyDescent="0.3"/>
  <cols>
    <col min="1" max="1" width="23.6640625" bestFit="1" customWidth="1"/>
    <col min="2" max="2" width="10.5546875" bestFit="1" customWidth="1"/>
  </cols>
  <sheetData>
    <row r="1" spans="1:12" x14ac:dyDescent="0.3">
      <c r="A1" t="s">
        <v>160</v>
      </c>
    </row>
    <row r="5" spans="1:12" x14ac:dyDescent="0.3">
      <c r="A5" t="s">
        <v>139</v>
      </c>
      <c r="B5">
        <v>2103</v>
      </c>
      <c r="D5" t="s">
        <v>258</v>
      </c>
      <c r="L5" t="s">
        <v>531</v>
      </c>
    </row>
    <row r="6" spans="1:12" x14ac:dyDescent="0.3">
      <c r="A6" t="s">
        <v>244</v>
      </c>
      <c r="B6">
        <v>69</v>
      </c>
    </row>
    <row r="7" spans="1:12" x14ac:dyDescent="0.3">
      <c r="A7" t="s">
        <v>289</v>
      </c>
      <c r="B7" t="s">
        <v>495</v>
      </c>
      <c r="D7" t="s">
        <v>315</v>
      </c>
    </row>
    <row r="8" spans="1:12" x14ac:dyDescent="0.3">
      <c r="A8" t="s">
        <v>290</v>
      </c>
      <c r="B8" s="29" t="s">
        <v>491</v>
      </c>
    </row>
    <row r="10" spans="1:12" x14ac:dyDescent="0.3">
      <c r="A10" t="s">
        <v>376</v>
      </c>
      <c r="B10" s="2">
        <v>0.5</v>
      </c>
      <c r="D10" t="s">
        <v>377</v>
      </c>
    </row>
    <row r="11" spans="1:12" x14ac:dyDescent="0.3">
      <c r="A11" t="s">
        <v>378</v>
      </c>
      <c r="B11" s="25">
        <v>15</v>
      </c>
      <c r="D11" t="s">
        <v>379</v>
      </c>
    </row>
    <row r="12" spans="1:12" x14ac:dyDescent="0.3">
      <c r="A12" t="s">
        <v>136</v>
      </c>
      <c r="B12" s="2">
        <v>0.01</v>
      </c>
      <c r="D12" t="s">
        <v>380</v>
      </c>
    </row>
    <row r="13" spans="1:12" x14ac:dyDescent="0.3">
      <c r="A13" t="s">
        <v>13</v>
      </c>
      <c r="B13" s="2">
        <v>0.12</v>
      </c>
      <c r="D13" t="s">
        <v>381</v>
      </c>
    </row>
    <row r="14" spans="1:12" x14ac:dyDescent="0.3">
      <c r="A14" t="s">
        <v>382</v>
      </c>
      <c r="B14" s="2">
        <v>0.02</v>
      </c>
      <c r="D14" t="s">
        <v>496</v>
      </c>
    </row>
    <row r="15" spans="1:12" x14ac:dyDescent="0.3">
      <c r="A15" t="s">
        <v>384</v>
      </c>
      <c r="B15" s="2">
        <v>0.01</v>
      </c>
      <c r="D15" t="s">
        <v>493</v>
      </c>
    </row>
    <row r="16" spans="1:12" x14ac:dyDescent="0.3">
      <c r="A16" t="s">
        <v>383</v>
      </c>
      <c r="B16" s="2">
        <v>0.1</v>
      </c>
      <c r="D16" t="s">
        <v>494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211"/>
  <sheetViews>
    <sheetView topLeftCell="A3" zoomScale="90" zoomScaleNormal="90" workbookViewId="0">
      <selection activeCell="E22" sqref="E22:E30"/>
    </sheetView>
  </sheetViews>
  <sheetFormatPr defaultRowHeight="14.4" x14ac:dyDescent="0.3"/>
  <cols>
    <col min="3" max="3" width="22.88671875" bestFit="1" customWidth="1"/>
    <col min="4" max="4" width="27.6640625" bestFit="1" customWidth="1"/>
    <col min="5" max="5" width="32.44140625" customWidth="1"/>
    <col min="6" max="6" width="19.88671875" customWidth="1"/>
    <col min="7" max="7" width="17.5546875" customWidth="1"/>
    <col min="8" max="8" width="17.33203125" bestFit="1" customWidth="1"/>
    <col min="9" max="9" width="23.5546875" bestFit="1" customWidth="1"/>
    <col min="10" max="10" width="18.88671875" bestFit="1" customWidth="1"/>
    <col min="11" max="11" width="13.33203125" customWidth="1"/>
    <col min="12" max="12" width="10.44140625" customWidth="1"/>
    <col min="13" max="13" width="10.88671875" customWidth="1"/>
    <col min="14" max="14" width="8" customWidth="1"/>
    <col min="15" max="15" width="10.5546875" style="1" bestFit="1" customWidth="1"/>
    <col min="16" max="17" width="11.33203125" bestFit="1" customWidth="1"/>
    <col min="18" max="18" width="9.5546875" customWidth="1"/>
    <col min="19" max="19" width="11.109375" customWidth="1"/>
    <col min="20" max="20" width="13.33203125" customWidth="1"/>
    <col min="21" max="21" width="14.6640625" customWidth="1"/>
    <col min="22" max="25" width="13.33203125" customWidth="1"/>
    <col min="26" max="26" width="14.88671875" customWidth="1"/>
  </cols>
  <sheetData>
    <row r="1" spans="2:28" x14ac:dyDescent="0.3">
      <c r="B1">
        <v>901</v>
      </c>
    </row>
    <row r="3" spans="2:28" x14ac:dyDescent="0.3">
      <c r="O3"/>
      <c r="P3" s="1"/>
      <c r="V3" t="s">
        <v>330</v>
      </c>
    </row>
    <row r="4" spans="2:28" x14ac:dyDescent="0.3">
      <c r="O4"/>
      <c r="P4" s="1"/>
      <c r="R4" t="s">
        <v>20</v>
      </c>
      <c r="U4" t="s">
        <v>314</v>
      </c>
      <c r="V4" t="s">
        <v>314</v>
      </c>
      <c r="W4" s="17" t="s">
        <v>313</v>
      </c>
      <c r="X4" s="17"/>
      <c r="Y4" s="17"/>
    </row>
    <row r="5" spans="2:28" ht="43.2" x14ac:dyDescent="0.3">
      <c r="C5" t="s">
        <v>6</v>
      </c>
      <c r="D5" t="s">
        <v>7</v>
      </c>
      <c r="E5" t="s">
        <v>9</v>
      </c>
      <c r="F5" s="1" t="s">
        <v>27</v>
      </c>
      <c r="G5" s="1" t="s">
        <v>159</v>
      </c>
      <c r="H5" t="s">
        <v>169</v>
      </c>
      <c r="I5" t="s">
        <v>14</v>
      </c>
      <c r="J5" s="1" t="s">
        <v>16</v>
      </c>
      <c r="K5" s="1" t="s">
        <v>17</v>
      </c>
      <c r="L5" s="1" t="s">
        <v>28</v>
      </c>
      <c r="M5" s="1" t="s">
        <v>30</v>
      </c>
      <c r="N5" s="1" t="s">
        <v>18</v>
      </c>
      <c r="O5" s="1" t="s">
        <v>282</v>
      </c>
      <c r="P5" s="1" t="s">
        <v>29</v>
      </c>
      <c r="Q5" t="s">
        <v>19</v>
      </c>
      <c r="R5" s="1" t="s">
        <v>255</v>
      </c>
      <c r="S5" s="1" t="s">
        <v>283</v>
      </c>
      <c r="T5" s="1" t="s">
        <v>204</v>
      </c>
      <c r="U5" s="1" t="s">
        <v>243</v>
      </c>
      <c r="V5" s="1" t="s">
        <v>288</v>
      </c>
      <c r="W5" s="1" t="s">
        <v>316</v>
      </c>
      <c r="X5" s="1" t="s">
        <v>324</v>
      </c>
      <c r="Y5" s="1" t="s">
        <v>358</v>
      </c>
      <c r="Z5" s="1" t="s">
        <v>317</v>
      </c>
      <c r="AB5" s="1" t="s">
        <v>323</v>
      </c>
    </row>
    <row r="6" spans="2:28" x14ac:dyDescent="0.3">
      <c r="B6">
        <v>1</v>
      </c>
      <c r="C6">
        <v>0</v>
      </c>
      <c r="D6" t="s">
        <v>8</v>
      </c>
      <c r="E6" t="s">
        <v>32</v>
      </c>
      <c r="F6">
        <v>50000</v>
      </c>
      <c r="G6">
        <v>0</v>
      </c>
      <c r="H6">
        <v>1</v>
      </c>
      <c r="I6">
        <v>1</v>
      </c>
      <c r="J6">
        <v>0.5</v>
      </c>
      <c r="K6">
        <v>1</v>
      </c>
      <c r="L6">
        <v>0</v>
      </c>
      <c r="M6">
        <v>1000</v>
      </c>
      <c r="N6">
        <v>500</v>
      </c>
      <c r="O6">
        <v>1</v>
      </c>
      <c r="P6" s="1">
        <v>1</v>
      </c>
      <c r="Q6">
        <v>0</v>
      </c>
      <c r="R6">
        <v>6</v>
      </c>
      <c r="S6">
        <v>5</v>
      </c>
      <c r="T6">
        <v>1</v>
      </c>
      <c r="U6">
        <v>10</v>
      </c>
      <c r="V6">
        <v>15</v>
      </c>
      <c r="W6">
        <v>0</v>
      </c>
      <c r="X6" t="b">
        <v>0</v>
      </c>
      <c r="Z6">
        <f t="shared" ref="Z6:Z17" si="0">+R6*S6*V6*4</f>
        <v>1800</v>
      </c>
      <c r="AB6">
        <v>15</v>
      </c>
    </row>
    <row r="7" spans="2:28" x14ac:dyDescent="0.3">
      <c r="B7">
        <v>2</v>
      </c>
      <c r="C7">
        <v>0</v>
      </c>
      <c r="D7" t="s">
        <v>8</v>
      </c>
      <c r="E7" t="s">
        <v>329</v>
      </c>
      <c r="F7">
        <v>50000</v>
      </c>
      <c r="G7">
        <v>0</v>
      </c>
      <c r="H7">
        <v>1</v>
      </c>
      <c r="I7">
        <v>1</v>
      </c>
      <c r="J7">
        <v>0.5</v>
      </c>
      <c r="K7">
        <v>1</v>
      </c>
      <c r="L7">
        <v>0</v>
      </c>
      <c r="M7">
        <v>1000</v>
      </c>
      <c r="N7">
        <v>500</v>
      </c>
      <c r="O7">
        <v>1</v>
      </c>
      <c r="P7" s="1">
        <v>1</v>
      </c>
      <c r="Q7">
        <v>0</v>
      </c>
      <c r="R7">
        <v>10</v>
      </c>
      <c r="S7">
        <v>6</v>
      </c>
      <c r="T7">
        <v>1</v>
      </c>
      <c r="U7">
        <v>5</v>
      </c>
      <c r="V7">
        <v>5</v>
      </c>
      <c r="W7">
        <v>0</v>
      </c>
      <c r="X7" t="b">
        <v>0</v>
      </c>
      <c r="Z7">
        <f t="shared" si="0"/>
        <v>1200</v>
      </c>
      <c r="AB7">
        <v>5</v>
      </c>
    </row>
    <row r="8" spans="2:28" x14ac:dyDescent="0.3">
      <c r="B8">
        <v>3</v>
      </c>
      <c r="C8">
        <v>0</v>
      </c>
      <c r="D8" t="s">
        <v>8</v>
      </c>
      <c r="E8" t="s">
        <v>21</v>
      </c>
      <c r="F8">
        <v>50000</v>
      </c>
      <c r="G8">
        <v>0</v>
      </c>
      <c r="H8">
        <v>1</v>
      </c>
      <c r="I8">
        <v>1</v>
      </c>
      <c r="J8">
        <v>0.5</v>
      </c>
      <c r="K8">
        <v>1</v>
      </c>
      <c r="L8">
        <v>0</v>
      </c>
      <c r="M8">
        <v>1000</v>
      </c>
      <c r="N8">
        <v>500</v>
      </c>
      <c r="O8">
        <v>1</v>
      </c>
      <c r="P8" s="1">
        <v>1</v>
      </c>
      <c r="Q8">
        <v>0</v>
      </c>
      <c r="R8">
        <v>10</v>
      </c>
      <c r="S8">
        <v>6</v>
      </c>
      <c r="T8">
        <v>1</v>
      </c>
      <c r="U8">
        <v>3</v>
      </c>
      <c r="V8">
        <v>5</v>
      </c>
      <c r="W8">
        <v>0</v>
      </c>
      <c r="X8" t="b">
        <v>0</v>
      </c>
      <c r="Z8">
        <f t="shared" si="0"/>
        <v>1200</v>
      </c>
      <c r="AB8">
        <v>5</v>
      </c>
    </row>
    <row r="9" spans="2:28" x14ac:dyDescent="0.3">
      <c r="B9">
        <v>4</v>
      </c>
      <c r="C9">
        <v>0</v>
      </c>
      <c r="D9" t="s">
        <v>8</v>
      </c>
      <c r="E9" t="s">
        <v>291</v>
      </c>
      <c r="F9">
        <v>50000</v>
      </c>
      <c r="G9">
        <v>0</v>
      </c>
      <c r="H9">
        <v>1</v>
      </c>
      <c r="I9">
        <v>1</v>
      </c>
      <c r="J9">
        <v>0.5</v>
      </c>
      <c r="K9">
        <v>1</v>
      </c>
      <c r="L9">
        <v>0</v>
      </c>
      <c r="M9">
        <v>1000</v>
      </c>
      <c r="N9">
        <v>500</v>
      </c>
      <c r="O9">
        <v>1</v>
      </c>
      <c r="P9" s="1">
        <v>1</v>
      </c>
      <c r="Q9">
        <v>0</v>
      </c>
      <c r="R9">
        <v>10</v>
      </c>
      <c r="S9">
        <v>6</v>
      </c>
      <c r="T9">
        <v>1</v>
      </c>
      <c r="U9">
        <v>3</v>
      </c>
      <c r="V9">
        <v>5</v>
      </c>
      <c r="W9">
        <v>45</v>
      </c>
      <c r="X9" t="b">
        <v>1</v>
      </c>
      <c r="Z9">
        <f t="shared" si="0"/>
        <v>1200</v>
      </c>
      <c r="AB9">
        <v>5</v>
      </c>
    </row>
    <row r="10" spans="2:28" x14ac:dyDescent="0.3">
      <c r="B10">
        <v>5</v>
      </c>
      <c r="C10">
        <v>0</v>
      </c>
      <c r="D10" t="s">
        <v>8</v>
      </c>
      <c r="E10" t="s">
        <v>197</v>
      </c>
      <c r="F10">
        <v>250000</v>
      </c>
      <c r="G10">
        <v>0</v>
      </c>
      <c r="H10">
        <v>2.5</v>
      </c>
      <c r="I10">
        <v>1</v>
      </c>
      <c r="J10">
        <v>1</v>
      </c>
      <c r="K10">
        <v>0.5</v>
      </c>
      <c r="L10" s="2">
        <v>0.01</v>
      </c>
      <c r="M10">
        <v>5000</v>
      </c>
      <c r="N10">
        <v>5000</v>
      </c>
      <c r="O10">
        <v>1</v>
      </c>
      <c r="P10" s="1">
        <v>1</v>
      </c>
      <c r="Q10">
        <v>0</v>
      </c>
      <c r="R10">
        <v>9</v>
      </c>
      <c r="S10">
        <v>7</v>
      </c>
      <c r="T10">
        <v>1</v>
      </c>
      <c r="U10">
        <v>3</v>
      </c>
      <c r="V10">
        <v>5</v>
      </c>
      <c r="W10">
        <v>60</v>
      </c>
      <c r="X10" t="b">
        <v>1</v>
      </c>
      <c r="Z10">
        <f t="shared" si="0"/>
        <v>1260</v>
      </c>
      <c r="AB10">
        <v>5</v>
      </c>
    </row>
    <row r="11" spans="2:28" x14ac:dyDescent="0.3">
      <c r="B11">
        <v>6</v>
      </c>
      <c r="C11">
        <v>0</v>
      </c>
      <c r="D11" t="s">
        <v>8</v>
      </c>
      <c r="E11" t="s">
        <v>325</v>
      </c>
      <c r="F11">
        <v>300000</v>
      </c>
      <c r="G11">
        <v>0</v>
      </c>
      <c r="H11">
        <v>2.5</v>
      </c>
      <c r="I11">
        <v>1.5</v>
      </c>
      <c r="J11">
        <v>1</v>
      </c>
      <c r="K11">
        <v>0.5</v>
      </c>
      <c r="L11" s="2">
        <v>0.02</v>
      </c>
      <c r="M11">
        <v>5000</v>
      </c>
      <c r="N11">
        <v>5000</v>
      </c>
      <c r="O11">
        <v>1</v>
      </c>
      <c r="P11" s="1">
        <v>0.5</v>
      </c>
      <c r="Q11">
        <v>0</v>
      </c>
      <c r="R11">
        <v>18</v>
      </c>
      <c r="S11">
        <v>7</v>
      </c>
      <c r="T11">
        <v>0.5</v>
      </c>
      <c r="U11">
        <v>15</v>
      </c>
      <c r="V11">
        <v>20</v>
      </c>
      <c r="W11">
        <v>30</v>
      </c>
      <c r="X11" t="b">
        <v>0</v>
      </c>
      <c r="Z11">
        <f t="shared" si="0"/>
        <v>10080</v>
      </c>
      <c r="AB11">
        <v>20</v>
      </c>
    </row>
    <row r="12" spans="2:28" x14ac:dyDescent="0.3">
      <c r="B12">
        <v>7</v>
      </c>
      <c r="C12">
        <v>0</v>
      </c>
      <c r="D12" t="s">
        <v>8</v>
      </c>
      <c r="E12" t="s">
        <v>326</v>
      </c>
      <c r="F12">
        <v>100000</v>
      </c>
      <c r="G12">
        <v>0</v>
      </c>
      <c r="H12">
        <v>1.5</v>
      </c>
      <c r="I12">
        <v>1</v>
      </c>
      <c r="J12">
        <v>1</v>
      </c>
      <c r="K12">
        <v>0.5</v>
      </c>
      <c r="L12" s="2">
        <v>0.01</v>
      </c>
      <c r="M12">
        <v>5000</v>
      </c>
      <c r="N12">
        <v>5000</v>
      </c>
      <c r="O12">
        <v>1</v>
      </c>
      <c r="P12" s="1">
        <v>0.75</v>
      </c>
      <c r="Q12">
        <v>0</v>
      </c>
      <c r="R12">
        <v>9</v>
      </c>
      <c r="S12">
        <v>7</v>
      </c>
      <c r="T12">
        <v>0.5</v>
      </c>
      <c r="U12">
        <v>5</v>
      </c>
      <c r="V12">
        <v>10</v>
      </c>
      <c r="W12">
        <v>30</v>
      </c>
      <c r="X12" t="b">
        <v>0</v>
      </c>
      <c r="Z12">
        <f t="shared" si="0"/>
        <v>2520</v>
      </c>
      <c r="AB12">
        <v>10</v>
      </c>
    </row>
    <row r="13" spans="2:28" x14ac:dyDescent="0.3">
      <c r="B13">
        <v>8</v>
      </c>
      <c r="C13">
        <v>0</v>
      </c>
      <c r="D13" t="s">
        <v>8</v>
      </c>
      <c r="E13" t="s">
        <v>23</v>
      </c>
      <c r="F13">
        <v>250000</v>
      </c>
      <c r="G13">
        <v>0</v>
      </c>
      <c r="H13">
        <v>2</v>
      </c>
      <c r="I13">
        <v>1</v>
      </c>
      <c r="J13">
        <v>1</v>
      </c>
      <c r="K13">
        <v>0.5</v>
      </c>
      <c r="L13" s="2">
        <v>0.01</v>
      </c>
      <c r="M13">
        <v>5000</v>
      </c>
      <c r="N13">
        <v>5000</v>
      </c>
      <c r="O13">
        <v>1</v>
      </c>
      <c r="P13" s="1">
        <v>1</v>
      </c>
      <c r="Q13">
        <v>0</v>
      </c>
      <c r="R13">
        <v>9</v>
      </c>
      <c r="S13">
        <v>7</v>
      </c>
      <c r="T13">
        <v>0.75</v>
      </c>
      <c r="U13">
        <v>3</v>
      </c>
      <c r="V13">
        <v>6</v>
      </c>
      <c r="W13">
        <v>45</v>
      </c>
      <c r="X13" t="b">
        <v>1</v>
      </c>
      <c r="Z13">
        <f t="shared" si="0"/>
        <v>1512</v>
      </c>
      <c r="AB13">
        <v>5</v>
      </c>
    </row>
    <row r="14" spans="2:28" x14ac:dyDescent="0.3">
      <c r="C14">
        <v>0</v>
      </c>
      <c r="D14" t="s">
        <v>8</v>
      </c>
      <c r="E14" t="s">
        <v>176</v>
      </c>
      <c r="F14">
        <v>150000</v>
      </c>
      <c r="G14">
        <v>0</v>
      </c>
      <c r="H14">
        <v>2</v>
      </c>
      <c r="I14">
        <v>1</v>
      </c>
      <c r="J14">
        <v>1.5</v>
      </c>
      <c r="K14">
        <v>1</v>
      </c>
      <c r="L14" s="2">
        <v>0</v>
      </c>
      <c r="M14">
        <v>5000</v>
      </c>
      <c r="N14">
        <v>5000</v>
      </c>
      <c r="O14">
        <v>1</v>
      </c>
      <c r="P14" s="1">
        <v>1</v>
      </c>
      <c r="Q14">
        <v>0</v>
      </c>
      <c r="R14">
        <v>9</v>
      </c>
      <c r="S14">
        <v>6</v>
      </c>
      <c r="T14">
        <v>1</v>
      </c>
      <c r="U14">
        <v>3</v>
      </c>
      <c r="V14">
        <v>5</v>
      </c>
      <c r="W14">
        <v>60</v>
      </c>
      <c r="X14" t="b">
        <v>1</v>
      </c>
      <c r="Z14">
        <f t="shared" si="0"/>
        <v>1080</v>
      </c>
      <c r="AB14">
        <v>5</v>
      </c>
    </row>
    <row r="15" spans="2:28" x14ac:dyDescent="0.3">
      <c r="C15">
        <v>0</v>
      </c>
      <c r="D15" t="s">
        <v>8</v>
      </c>
      <c r="E15" t="s">
        <v>177</v>
      </c>
      <c r="F15">
        <v>250000</v>
      </c>
      <c r="G15">
        <v>0</v>
      </c>
      <c r="H15">
        <v>2</v>
      </c>
      <c r="I15">
        <v>1</v>
      </c>
      <c r="J15">
        <v>2</v>
      </c>
      <c r="K15">
        <v>1</v>
      </c>
      <c r="L15">
        <v>0</v>
      </c>
      <c r="M15">
        <v>5000</v>
      </c>
      <c r="N15">
        <v>3000</v>
      </c>
      <c r="O15">
        <v>1.25</v>
      </c>
      <c r="P15" s="1">
        <v>1.25</v>
      </c>
      <c r="Q15">
        <v>0</v>
      </c>
      <c r="R15">
        <v>9</v>
      </c>
      <c r="S15">
        <v>7</v>
      </c>
      <c r="T15">
        <v>1</v>
      </c>
      <c r="U15">
        <v>3</v>
      </c>
      <c r="V15">
        <v>4</v>
      </c>
      <c r="W15">
        <v>60</v>
      </c>
      <c r="X15" t="b">
        <v>1</v>
      </c>
      <c r="Z15">
        <f t="shared" si="0"/>
        <v>1008</v>
      </c>
      <c r="AB15">
        <v>3.5</v>
      </c>
    </row>
    <row r="16" spans="2:28" x14ac:dyDescent="0.3">
      <c r="C16">
        <v>0</v>
      </c>
      <c r="D16" t="s">
        <v>8</v>
      </c>
      <c r="E16" t="s">
        <v>25</v>
      </c>
      <c r="F16">
        <v>150000</v>
      </c>
      <c r="G16">
        <v>0</v>
      </c>
      <c r="H16">
        <v>1.5</v>
      </c>
      <c r="I16">
        <v>1</v>
      </c>
      <c r="J16">
        <v>2</v>
      </c>
      <c r="K16">
        <v>1</v>
      </c>
      <c r="L16">
        <v>0</v>
      </c>
      <c r="M16">
        <v>2000</v>
      </c>
      <c r="N16">
        <v>3000</v>
      </c>
      <c r="O16">
        <v>1.25</v>
      </c>
      <c r="P16" s="1">
        <v>1.5</v>
      </c>
      <c r="Q16">
        <v>0</v>
      </c>
      <c r="R16">
        <v>8</v>
      </c>
      <c r="S16">
        <v>6</v>
      </c>
      <c r="T16">
        <v>1.25</v>
      </c>
      <c r="U16">
        <v>3</v>
      </c>
      <c r="V16">
        <v>4</v>
      </c>
      <c r="W16">
        <v>90</v>
      </c>
      <c r="X16" t="b">
        <v>1</v>
      </c>
      <c r="Z16">
        <f t="shared" si="0"/>
        <v>768</v>
      </c>
      <c r="AB16">
        <v>3.5</v>
      </c>
    </row>
    <row r="17" spans="3:28" x14ac:dyDescent="0.3">
      <c r="C17">
        <v>0</v>
      </c>
      <c r="D17" t="s">
        <v>8</v>
      </c>
      <c r="E17" t="s">
        <v>178</v>
      </c>
      <c r="F17">
        <v>500000</v>
      </c>
      <c r="G17">
        <v>0</v>
      </c>
      <c r="H17">
        <v>1</v>
      </c>
      <c r="I17">
        <v>1</v>
      </c>
      <c r="J17">
        <v>2</v>
      </c>
      <c r="K17">
        <v>2</v>
      </c>
      <c r="L17">
        <v>0</v>
      </c>
      <c r="M17">
        <v>5000</v>
      </c>
      <c r="N17">
        <v>5000</v>
      </c>
      <c r="O17">
        <v>1.5</v>
      </c>
      <c r="P17" s="1">
        <v>1.5</v>
      </c>
      <c r="Q17">
        <v>0</v>
      </c>
      <c r="R17">
        <v>8</v>
      </c>
      <c r="S17">
        <v>6</v>
      </c>
      <c r="T17">
        <v>1.5</v>
      </c>
      <c r="U17">
        <v>2</v>
      </c>
      <c r="V17">
        <v>1</v>
      </c>
      <c r="W17">
        <v>120</v>
      </c>
      <c r="X17" t="b">
        <v>1</v>
      </c>
      <c r="Z17">
        <f t="shared" si="0"/>
        <v>192</v>
      </c>
      <c r="AB17">
        <v>2</v>
      </c>
    </row>
    <row r="18" spans="3:28" x14ac:dyDescent="0.3">
      <c r="C18">
        <v>0</v>
      </c>
      <c r="D18" t="s">
        <v>8</v>
      </c>
      <c r="E18" t="s">
        <v>137</v>
      </c>
      <c r="F18">
        <v>1000</v>
      </c>
      <c r="G18">
        <v>0</v>
      </c>
      <c r="H18">
        <v>0.25</v>
      </c>
      <c r="I18">
        <v>0.25</v>
      </c>
      <c r="J18">
        <v>0.5</v>
      </c>
      <c r="K18">
        <v>1</v>
      </c>
      <c r="L18">
        <v>0</v>
      </c>
      <c r="M18">
        <v>1000</v>
      </c>
      <c r="N18">
        <v>500</v>
      </c>
      <c r="O18">
        <v>1</v>
      </c>
      <c r="P18" s="1">
        <v>1</v>
      </c>
      <c r="Q18">
        <v>0</v>
      </c>
      <c r="R18">
        <v>6</v>
      </c>
      <c r="S18">
        <v>5</v>
      </c>
      <c r="T18">
        <v>1</v>
      </c>
      <c r="U18">
        <v>10</v>
      </c>
      <c r="V18">
        <v>15</v>
      </c>
      <c r="W18">
        <v>0</v>
      </c>
      <c r="X18" t="b">
        <v>0</v>
      </c>
      <c r="Z18">
        <f>+R18*S18*V18*4</f>
        <v>1800</v>
      </c>
      <c r="AB18">
        <v>15</v>
      </c>
    </row>
    <row r="21" spans="3:28" x14ac:dyDescent="0.3">
      <c r="C21">
        <v>0</v>
      </c>
      <c r="D21" t="s">
        <v>0</v>
      </c>
      <c r="E21" t="s">
        <v>9</v>
      </c>
      <c r="F21" t="s">
        <v>33</v>
      </c>
      <c r="G21" t="s">
        <v>169</v>
      </c>
      <c r="H21" t="s">
        <v>14</v>
      </c>
      <c r="I21" t="s">
        <v>15</v>
      </c>
      <c r="J21" t="s">
        <v>34</v>
      </c>
      <c r="K21" t="s">
        <v>35</v>
      </c>
      <c r="L21" t="s">
        <v>36</v>
      </c>
    </row>
    <row r="22" spans="3:28" x14ac:dyDescent="0.3">
      <c r="C22">
        <v>0</v>
      </c>
      <c r="D22" t="s">
        <v>0</v>
      </c>
      <c r="E22" t="s">
        <v>184</v>
      </c>
      <c r="F22">
        <v>2</v>
      </c>
      <c r="G22">
        <v>3</v>
      </c>
      <c r="H22">
        <v>1.25</v>
      </c>
      <c r="I22">
        <v>1.5</v>
      </c>
      <c r="J22">
        <v>1.5</v>
      </c>
      <c r="K22">
        <v>5</v>
      </c>
      <c r="L22">
        <v>3</v>
      </c>
    </row>
    <row r="23" spans="3:28" x14ac:dyDescent="0.3">
      <c r="C23">
        <v>0</v>
      </c>
      <c r="D23" t="s">
        <v>0</v>
      </c>
      <c r="E23" t="s">
        <v>183</v>
      </c>
      <c r="F23">
        <v>2</v>
      </c>
      <c r="G23">
        <v>2</v>
      </c>
      <c r="H23">
        <v>1</v>
      </c>
      <c r="I23">
        <v>1.25</v>
      </c>
      <c r="J23">
        <v>1</v>
      </c>
      <c r="K23">
        <v>3</v>
      </c>
      <c r="L23">
        <v>1</v>
      </c>
    </row>
    <row r="24" spans="3:28" x14ac:dyDescent="0.3">
      <c r="C24">
        <v>0</v>
      </c>
      <c r="D24" t="s">
        <v>0</v>
      </c>
      <c r="E24" t="s">
        <v>172</v>
      </c>
      <c r="F24">
        <v>1.5</v>
      </c>
      <c r="G24">
        <v>3</v>
      </c>
      <c r="H24">
        <v>1</v>
      </c>
      <c r="I24">
        <v>2</v>
      </c>
      <c r="J24">
        <v>1.5</v>
      </c>
      <c r="K24">
        <v>3</v>
      </c>
      <c r="L24">
        <v>3</v>
      </c>
    </row>
    <row r="25" spans="3:28" x14ac:dyDescent="0.3">
      <c r="C25">
        <v>0</v>
      </c>
      <c r="D25" t="s">
        <v>0</v>
      </c>
      <c r="E25" t="s">
        <v>499</v>
      </c>
      <c r="F25">
        <v>1</v>
      </c>
      <c r="G25">
        <v>1.5</v>
      </c>
      <c r="H25">
        <v>1</v>
      </c>
      <c r="I25">
        <v>1</v>
      </c>
      <c r="J25">
        <v>1</v>
      </c>
      <c r="K25">
        <v>3</v>
      </c>
      <c r="L25">
        <v>1</v>
      </c>
    </row>
    <row r="26" spans="3:28" x14ac:dyDescent="0.3">
      <c r="C26">
        <v>0</v>
      </c>
      <c r="D26" t="s">
        <v>0</v>
      </c>
      <c r="E26" t="s">
        <v>170</v>
      </c>
      <c r="F26">
        <v>2</v>
      </c>
      <c r="G26">
        <v>1</v>
      </c>
      <c r="H26">
        <v>1</v>
      </c>
      <c r="I26">
        <v>1</v>
      </c>
      <c r="J26">
        <v>1</v>
      </c>
      <c r="K26">
        <v>3</v>
      </c>
      <c r="L26">
        <v>1</v>
      </c>
    </row>
    <row r="27" spans="3:28" x14ac:dyDescent="0.3">
      <c r="C27">
        <v>0</v>
      </c>
      <c r="D27" t="s">
        <v>0</v>
      </c>
      <c r="E27" t="s">
        <v>31</v>
      </c>
      <c r="F27">
        <v>1</v>
      </c>
      <c r="G27">
        <v>2</v>
      </c>
      <c r="H27">
        <v>1.25</v>
      </c>
      <c r="I27">
        <v>1</v>
      </c>
      <c r="J27">
        <v>1</v>
      </c>
      <c r="K27">
        <v>2</v>
      </c>
      <c r="L27">
        <v>1</v>
      </c>
    </row>
    <row r="28" spans="3:28" x14ac:dyDescent="0.3">
      <c r="C28">
        <v>0</v>
      </c>
      <c r="D28" t="s">
        <v>0</v>
      </c>
      <c r="E28" t="s">
        <v>113</v>
      </c>
      <c r="F28">
        <v>0.5</v>
      </c>
      <c r="G28">
        <v>0.5</v>
      </c>
      <c r="H28">
        <v>1</v>
      </c>
      <c r="I28">
        <v>1</v>
      </c>
      <c r="J28">
        <v>0.5</v>
      </c>
      <c r="K28">
        <v>1</v>
      </c>
      <c r="L28">
        <v>1</v>
      </c>
    </row>
    <row r="29" spans="3:28" x14ac:dyDescent="0.3">
      <c r="C29">
        <v>0</v>
      </c>
      <c r="D29" t="s">
        <v>0</v>
      </c>
      <c r="E29" t="s">
        <v>137</v>
      </c>
      <c r="F29">
        <v>0</v>
      </c>
      <c r="G29">
        <v>1</v>
      </c>
      <c r="H29">
        <v>1</v>
      </c>
      <c r="I29">
        <v>1</v>
      </c>
      <c r="J29">
        <v>0.5</v>
      </c>
      <c r="K29">
        <v>1</v>
      </c>
      <c r="L29">
        <v>0.5</v>
      </c>
    </row>
    <row r="30" spans="3:28" x14ac:dyDescent="0.3">
      <c r="C30">
        <v>0</v>
      </c>
      <c r="D30" t="s">
        <v>0</v>
      </c>
      <c r="E30" t="s">
        <v>171</v>
      </c>
      <c r="F30">
        <v>2</v>
      </c>
      <c r="G30">
        <v>1.5</v>
      </c>
      <c r="H30">
        <v>1.25</v>
      </c>
      <c r="I30">
        <v>1</v>
      </c>
      <c r="J30">
        <v>1</v>
      </c>
      <c r="K30">
        <v>3</v>
      </c>
      <c r="L30">
        <v>3</v>
      </c>
    </row>
    <row r="33" spans="3:51" x14ac:dyDescent="0.3">
      <c r="D33" t="s">
        <v>168</v>
      </c>
      <c r="E33" t="s">
        <v>9</v>
      </c>
      <c r="F33" t="s">
        <v>169</v>
      </c>
      <c r="G33" t="s">
        <v>14</v>
      </c>
      <c r="H33" t="s">
        <v>15</v>
      </c>
      <c r="I33" t="s">
        <v>34</v>
      </c>
      <c r="J33" t="s">
        <v>35</v>
      </c>
    </row>
    <row r="34" spans="3:51" x14ac:dyDescent="0.3">
      <c r="D34" t="s">
        <v>168</v>
      </c>
      <c r="E34" t="s">
        <v>182</v>
      </c>
      <c r="F34">
        <v>2</v>
      </c>
      <c r="G34">
        <v>1.25</v>
      </c>
      <c r="H34">
        <v>1.5</v>
      </c>
      <c r="I34">
        <v>1</v>
      </c>
      <c r="J34">
        <v>1</v>
      </c>
    </row>
    <row r="35" spans="3:51" x14ac:dyDescent="0.3">
      <c r="D35" t="s">
        <v>168</v>
      </c>
      <c r="E35" t="s">
        <v>179</v>
      </c>
      <c r="F35">
        <v>2</v>
      </c>
      <c r="G35">
        <v>1</v>
      </c>
      <c r="H35">
        <v>1.5</v>
      </c>
      <c r="I35">
        <v>1</v>
      </c>
      <c r="J35">
        <v>1</v>
      </c>
    </row>
    <row r="36" spans="3:51" x14ac:dyDescent="0.3">
      <c r="D36" t="s">
        <v>168</v>
      </c>
      <c r="E36" t="s">
        <v>174</v>
      </c>
      <c r="F36">
        <v>3</v>
      </c>
      <c r="G36">
        <v>1</v>
      </c>
      <c r="H36">
        <v>1</v>
      </c>
      <c r="I36">
        <v>1</v>
      </c>
      <c r="J36">
        <v>1</v>
      </c>
    </row>
    <row r="37" spans="3:51" x14ac:dyDescent="0.3">
      <c r="D37" t="s">
        <v>168</v>
      </c>
      <c r="E37" t="s">
        <v>180</v>
      </c>
      <c r="F37">
        <v>1</v>
      </c>
      <c r="G37">
        <v>1</v>
      </c>
      <c r="H37">
        <v>1</v>
      </c>
      <c r="I37">
        <v>1</v>
      </c>
      <c r="J37">
        <v>1</v>
      </c>
    </row>
    <row r="38" spans="3:51" x14ac:dyDescent="0.3">
      <c r="D38" t="s">
        <v>168</v>
      </c>
      <c r="E38" t="s">
        <v>181</v>
      </c>
      <c r="F38">
        <v>1</v>
      </c>
      <c r="G38">
        <v>1</v>
      </c>
      <c r="H38">
        <v>1</v>
      </c>
      <c r="I38">
        <v>1</v>
      </c>
      <c r="J38">
        <v>1</v>
      </c>
    </row>
    <row r="39" spans="3:51" x14ac:dyDescent="0.3">
      <c r="D39" t="s">
        <v>168</v>
      </c>
      <c r="E39" t="s">
        <v>173</v>
      </c>
      <c r="F39">
        <v>2</v>
      </c>
      <c r="G39">
        <v>1.25</v>
      </c>
      <c r="H39">
        <v>1</v>
      </c>
      <c r="I39">
        <v>1</v>
      </c>
      <c r="J39">
        <v>1</v>
      </c>
    </row>
    <row r="40" spans="3:51" x14ac:dyDescent="0.3">
      <c r="D40" t="s">
        <v>168</v>
      </c>
      <c r="E40" t="s">
        <v>175</v>
      </c>
      <c r="F40">
        <v>2</v>
      </c>
      <c r="G40">
        <v>1</v>
      </c>
      <c r="H40">
        <v>1</v>
      </c>
      <c r="I40">
        <v>1</v>
      </c>
      <c r="J40">
        <v>1</v>
      </c>
    </row>
    <row r="44" spans="3:51" x14ac:dyDescent="0.3">
      <c r="C44" t="s">
        <v>71</v>
      </c>
      <c r="D44" t="s">
        <v>253</v>
      </c>
      <c r="E44" t="s">
        <v>37</v>
      </c>
      <c r="F44" t="s">
        <v>33</v>
      </c>
      <c r="AJ44" s="25"/>
      <c r="AO44" s="25"/>
      <c r="AT44" s="25"/>
      <c r="AY44" s="25"/>
    </row>
    <row r="45" spans="3:51" x14ac:dyDescent="0.3">
      <c r="C45" t="s">
        <v>71</v>
      </c>
      <c r="D45" t="s">
        <v>253</v>
      </c>
      <c r="E45" t="s">
        <v>328</v>
      </c>
      <c r="F45">
        <v>1</v>
      </c>
      <c r="AJ45" s="25"/>
      <c r="AO45" s="25"/>
      <c r="AT45" s="25"/>
      <c r="AY45" s="25"/>
    </row>
    <row r="46" spans="3:51" x14ac:dyDescent="0.3">
      <c r="C46" t="s">
        <v>71</v>
      </c>
      <c r="D46" t="s">
        <v>253</v>
      </c>
      <c r="E46" t="s">
        <v>38</v>
      </c>
      <c r="F46">
        <v>1.5</v>
      </c>
      <c r="AJ46" s="25"/>
      <c r="AO46" s="25"/>
      <c r="AT46" s="25"/>
      <c r="AY46" s="25"/>
    </row>
    <row r="47" spans="3:51" x14ac:dyDescent="0.3">
      <c r="C47" t="s">
        <v>71</v>
      </c>
      <c r="D47" t="s">
        <v>253</v>
      </c>
      <c r="E47" t="s">
        <v>131</v>
      </c>
      <c r="F47">
        <v>1</v>
      </c>
      <c r="AJ47" s="25"/>
      <c r="AO47" s="25"/>
      <c r="AT47" s="25"/>
      <c r="AY47" s="25"/>
    </row>
    <row r="48" spans="3:51" x14ac:dyDescent="0.3">
      <c r="C48" t="s">
        <v>71</v>
      </c>
      <c r="D48" t="s">
        <v>253</v>
      </c>
      <c r="E48" t="s">
        <v>39</v>
      </c>
      <c r="F48">
        <v>0.5</v>
      </c>
      <c r="M48" s="25"/>
      <c r="AJ48" s="25"/>
      <c r="AO48" s="25"/>
      <c r="AT48" s="25"/>
      <c r="AY48" s="25"/>
    </row>
    <row r="49" spans="3:52" x14ac:dyDescent="0.3">
      <c r="C49" t="s">
        <v>71</v>
      </c>
      <c r="D49" t="s">
        <v>253</v>
      </c>
      <c r="E49" t="s">
        <v>273</v>
      </c>
      <c r="F49">
        <v>0.5</v>
      </c>
      <c r="M49" s="25"/>
      <c r="AJ49" s="25"/>
      <c r="AO49" s="25"/>
      <c r="AT49" s="25"/>
      <c r="AY49" s="25"/>
    </row>
    <row r="50" spans="3:52" x14ac:dyDescent="0.3">
      <c r="C50" t="s">
        <v>71</v>
      </c>
      <c r="D50" t="s">
        <v>253</v>
      </c>
      <c r="E50" t="s">
        <v>274</v>
      </c>
      <c r="F50">
        <v>0.5</v>
      </c>
      <c r="M50" s="25"/>
    </row>
    <row r="51" spans="3:52" x14ac:dyDescent="0.3">
      <c r="C51" t="s">
        <v>71</v>
      </c>
      <c r="D51" t="s">
        <v>253</v>
      </c>
      <c r="E51" t="s">
        <v>275</v>
      </c>
      <c r="F51">
        <v>1</v>
      </c>
      <c r="M51" s="25"/>
      <c r="AJ51" s="25"/>
      <c r="AK51" s="34"/>
      <c r="AO51" s="25"/>
      <c r="AP51" s="34"/>
      <c r="AT51" s="25"/>
      <c r="AU51" s="34"/>
      <c r="AY51" s="25"/>
      <c r="AZ51" s="34"/>
    </row>
    <row r="52" spans="3:52" x14ac:dyDescent="0.3">
      <c r="C52" t="s">
        <v>71</v>
      </c>
      <c r="D52" t="s">
        <v>253</v>
      </c>
      <c r="E52" t="s">
        <v>276</v>
      </c>
      <c r="F52">
        <v>1</v>
      </c>
      <c r="M52" s="25"/>
    </row>
    <row r="53" spans="3:52" x14ac:dyDescent="0.3">
      <c r="C53" t="s">
        <v>71</v>
      </c>
      <c r="D53" t="s">
        <v>253</v>
      </c>
      <c r="E53" t="s">
        <v>277</v>
      </c>
      <c r="F53">
        <v>1</v>
      </c>
      <c r="AJ53" s="25"/>
      <c r="AK53" s="34"/>
      <c r="AO53" s="25"/>
      <c r="AP53" s="34"/>
      <c r="AT53" s="25"/>
      <c r="AU53" s="34"/>
      <c r="AY53" s="25"/>
      <c r="AZ53" s="34"/>
    </row>
    <row r="55" spans="3:52" x14ac:dyDescent="0.3">
      <c r="E55" t="s">
        <v>190</v>
      </c>
      <c r="AJ55" s="25"/>
      <c r="AO55" s="25"/>
      <c r="AT55" s="25"/>
      <c r="AY55" s="25"/>
    </row>
    <row r="57" spans="3:52" ht="43.2" x14ac:dyDescent="0.3">
      <c r="C57" t="s">
        <v>72</v>
      </c>
      <c r="D57" t="s">
        <v>161</v>
      </c>
      <c r="E57" t="s">
        <v>37</v>
      </c>
      <c r="F57" t="s">
        <v>129</v>
      </c>
      <c r="G57" t="s">
        <v>33</v>
      </c>
      <c r="H57" t="s">
        <v>14</v>
      </c>
      <c r="I57" t="s">
        <v>331</v>
      </c>
      <c r="J57" t="s">
        <v>330</v>
      </c>
      <c r="K57" t="s">
        <v>385</v>
      </c>
      <c r="L57" t="s">
        <v>191</v>
      </c>
      <c r="M57" s="1" t="s">
        <v>321</v>
      </c>
      <c r="N57" t="s">
        <v>185</v>
      </c>
      <c r="O57" t="s">
        <v>196</v>
      </c>
      <c r="P57" t="s">
        <v>322</v>
      </c>
      <c r="R57" s="1"/>
    </row>
    <row r="58" spans="3:52" x14ac:dyDescent="0.3">
      <c r="C58" t="s">
        <v>72</v>
      </c>
      <c r="D58" t="s">
        <v>161</v>
      </c>
      <c r="E58" t="s">
        <v>32</v>
      </c>
      <c r="G58">
        <v>1</v>
      </c>
      <c r="H58">
        <v>1</v>
      </c>
      <c r="I58" t="s">
        <v>330</v>
      </c>
      <c r="J58">
        <v>10</v>
      </c>
      <c r="K58">
        <v>0</v>
      </c>
      <c r="L58">
        <v>250</v>
      </c>
      <c r="M58">
        <v>2.5</v>
      </c>
      <c r="N58">
        <v>0</v>
      </c>
      <c r="O58"/>
      <c r="P58">
        <v>30</v>
      </c>
      <c r="Q58" t="s">
        <v>320</v>
      </c>
      <c r="R58" s="1">
        <v>900</v>
      </c>
      <c r="S58">
        <f>+P58*R58/12</f>
        <v>2250</v>
      </c>
    </row>
    <row r="59" spans="3:52" x14ac:dyDescent="0.3">
      <c r="C59" t="s">
        <v>72</v>
      </c>
      <c r="D59" t="s">
        <v>161</v>
      </c>
      <c r="E59" s="17" t="s">
        <v>318</v>
      </c>
      <c r="G59">
        <v>0.5</v>
      </c>
      <c r="H59">
        <v>1</v>
      </c>
      <c r="I59" t="s">
        <v>330</v>
      </c>
      <c r="J59">
        <v>10</v>
      </c>
      <c r="K59">
        <v>0</v>
      </c>
      <c r="L59">
        <v>500</v>
      </c>
      <c r="M59">
        <v>2.5</v>
      </c>
      <c r="N59">
        <f>+L59*M59</f>
        <v>1250</v>
      </c>
      <c r="O59"/>
      <c r="P59">
        <f>+P58/12</f>
        <v>2.5</v>
      </c>
      <c r="R59" s="1"/>
      <c r="AJ59" s="25"/>
      <c r="AO59" s="25"/>
      <c r="AT59" s="25"/>
      <c r="AY59" s="25"/>
    </row>
    <row r="60" spans="3:52" x14ac:dyDescent="0.3">
      <c r="C60" t="s">
        <v>72</v>
      </c>
      <c r="D60" t="s">
        <v>161</v>
      </c>
      <c r="E60" s="17" t="s">
        <v>327</v>
      </c>
      <c r="G60">
        <v>0.5</v>
      </c>
      <c r="H60">
        <v>1</v>
      </c>
      <c r="I60" t="s">
        <v>330</v>
      </c>
      <c r="J60">
        <v>10</v>
      </c>
      <c r="K60">
        <v>0</v>
      </c>
      <c r="L60">
        <v>500</v>
      </c>
      <c r="M60">
        <v>2.5</v>
      </c>
      <c r="N60">
        <v>1250</v>
      </c>
      <c r="O60"/>
      <c r="R60" s="1"/>
      <c r="AJ60" s="25"/>
      <c r="AO60" s="25"/>
      <c r="AT60" s="25"/>
      <c r="AY60" s="25"/>
    </row>
    <row r="61" spans="3:52" x14ac:dyDescent="0.3">
      <c r="C61" t="s">
        <v>72</v>
      </c>
      <c r="D61" t="s">
        <v>161</v>
      </c>
      <c r="E61" s="17" t="s">
        <v>387</v>
      </c>
      <c r="G61">
        <v>1</v>
      </c>
      <c r="H61">
        <v>1</v>
      </c>
      <c r="I61" t="s">
        <v>385</v>
      </c>
      <c r="J61">
        <v>0</v>
      </c>
      <c r="K61">
        <v>10</v>
      </c>
      <c r="L61">
        <v>500</v>
      </c>
      <c r="M61">
        <v>2.5</v>
      </c>
      <c r="N61">
        <f>+L61*M61</f>
        <v>1250</v>
      </c>
      <c r="O61"/>
      <c r="P61" s="25"/>
      <c r="R61" s="1"/>
    </row>
    <row r="62" spans="3:52" x14ac:dyDescent="0.3">
      <c r="C62" t="s">
        <v>72</v>
      </c>
      <c r="D62" t="s">
        <v>161</v>
      </c>
      <c r="E62" s="17" t="s">
        <v>388</v>
      </c>
      <c r="G62">
        <v>1.5</v>
      </c>
      <c r="H62">
        <v>1.5</v>
      </c>
      <c r="I62" t="s">
        <v>385</v>
      </c>
      <c r="J62">
        <v>0</v>
      </c>
      <c r="K62">
        <v>20</v>
      </c>
      <c r="L62">
        <v>1000</v>
      </c>
      <c r="M62">
        <v>2.5</v>
      </c>
      <c r="N62">
        <f>+L62*M62</f>
        <v>2500</v>
      </c>
      <c r="O62"/>
      <c r="P62" s="25"/>
      <c r="R62" s="1"/>
    </row>
    <row r="63" spans="3:52" x14ac:dyDescent="0.3">
      <c r="C63" t="s">
        <v>72</v>
      </c>
      <c r="D63" t="s">
        <v>161</v>
      </c>
      <c r="E63" s="17" t="s">
        <v>386</v>
      </c>
      <c r="G63">
        <v>2</v>
      </c>
      <c r="H63">
        <v>2</v>
      </c>
      <c r="I63" t="s">
        <v>385</v>
      </c>
      <c r="J63">
        <v>0</v>
      </c>
      <c r="K63">
        <v>35</v>
      </c>
      <c r="L63">
        <v>1500</v>
      </c>
      <c r="M63">
        <v>2.5</v>
      </c>
      <c r="N63">
        <f>+L63*M63</f>
        <v>3750</v>
      </c>
      <c r="O63"/>
      <c r="R63" s="1"/>
    </row>
    <row r="64" spans="3:52" x14ac:dyDescent="0.3">
      <c r="C64" t="s">
        <v>72</v>
      </c>
      <c r="D64" t="s">
        <v>161</v>
      </c>
      <c r="E64" s="17" t="s">
        <v>389</v>
      </c>
      <c r="G64">
        <v>4</v>
      </c>
      <c r="H64">
        <v>4</v>
      </c>
      <c r="I64" t="s">
        <v>385</v>
      </c>
      <c r="J64">
        <v>0</v>
      </c>
      <c r="K64">
        <v>50</v>
      </c>
      <c r="L64">
        <v>3000</v>
      </c>
      <c r="M64">
        <v>2.5</v>
      </c>
      <c r="N64">
        <f>+L64*M64</f>
        <v>7500</v>
      </c>
      <c r="O64"/>
      <c r="R64" s="1"/>
    </row>
    <row r="65" spans="3:18" x14ac:dyDescent="0.3">
      <c r="C65" t="s">
        <v>72</v>
      </c>
      <c r="D65" t="s">
        <v>161</v>
      </c>
      <c r="E65" s="17" t="s">
        <v>390</v>
      </c>
      <c r="G65">
        <v>8</v>
      </c>
      <c r="H65">
        <v>8</v>
      </c>
      <c r="I65" t="s">
        <v>385</v>
      </c>
      <c r="J65">
        <v>0</v>
      </c>
      <c r="K65">
        <v>100</v>
      </c>
      <c r="L65">
        <v>6000</v>
      </c>
      <c r="M65">
        <v>2.5</v>
      </c>
      <c r="N65">
        <f>+L65*M65</f>
        <v>15000</v>
      </c>
      <c r="O65"/>
      <c r="P65" s="25"/>
      <c r="R65" s="1"/>
    </row>
    <row r="66" spans="3:18" x14ac:dyDescent="0.3">
      <c r="E66" s="17"/>
      <c r="M66" s="25"/>
    </row>
    <row r="67" spans="3:18" x14ac:dyDescent="0.3">
      <c r="C67" t="s">
        <v>72</v>
      </c>
      <c r="D67" t="s">
        <v>306</v>
      </c>
      <c r="E67" t="s">
        <v>37</v>
      </c>
      <c r="M67" s="25"/>
    </row>
    <row r="68" spans="3:18" x14ac:dyDescent="0.3">
      <c r="C68" t="s">
        <v>72</v>
      </c>
      <c r="D68" t="s">
        <v>306</v>
      </c>
      <c r="E68" s="17" t="s">
        <v>163</v>
      </c>
      <c r="M68" s="25"/>
    </row>
    <row r="69" spans="3:18" x14ac:dyDescent="0.3">
      <c r="C69" t="s">
        <v>72</v>
      </c>
      <c r="D69" t="s">
        <v>306</v>
      </c>
      <c r="E69" s="17" t="s">
        <v>164</v>
      </c>
      <c r="M69" s="25"/>
    </row>
    <row r="70" spans="3:18" x14ac:dyDescent="0.3">
      <c r="C70" t="s">
        <v>72</v>
      </c>
      <c r="D70" t="s">
        <v>306</v>
      </c>
      <c r="E70" s="17" t="s">
        <v>165</v>
      </c>
      <c r="M70" s="25"/>
    </row>
    <row r="71" spans="3:18" x14ac:dyDescent="0.3">
      <c r="C71" t="s">
        <v>72</v>
      </c>
      <c r="D71" t="s">
        <v>306</v>
      </c>
      <c r="E71" s="17" t="s">
        <v>166</v>
      </c>
      <c r="M71" s="25"/>
    </row>
    <row r="72" spans="3:18" x14ac:dyDescent="0.3">
      <c r="C72" t="s">
        <v>72</v>
      </c>
      <c r="D72" t="s">
        <v>306</v>
      </c>
      <c r="E72" s="17" t="s">
        <v>307</v>
      </c>
      <c r="M72" s="25"/>
    </row>
    <row r="73" spans="3:18" x14ac:dyDescent="0.3">
      <c r="E73" s="17"/>
      <c r="M73" s="25"/>
    </row>
    <row r="74" spans="3:18" x14ac:dyDescent="0.3">
      <c r="C74" t="s">
        <v>72</v>
      </c>
      <c r="D74" t="s">
        <v>300</v>
      </c>
      <c r="E74" t="s">
        <v>37</v>
      </c>
      <c r="M74" s="25"/>
    </row>
    <row r="75" spans="3:18" x14ac:dyDescent="0.3">
      <c r="C75" t="s">
        <v>72</v>
      </c>
      <c r="D75" t="s">
        <v>300</v>
      </c>
      <c r="E75" s="17" t="s">
        <v>308</v>
      </c>
      <c r="M75" s="25"/>
    </row>
    <row r="76" spans="3:18" x14ac:dyDescent="0.3">
      <c r="C76" t="s">
        <v>72</v>
      </c>
      <c r="D76" t="s">
        <v>300</v>
      </c>
      <c r="E76" s="17" t="s">
        <v>309</v>
      </c>
      <c r="M76" s="25"/>
    </row>
    <row r="77" spans="3:18" x14ac:dyDescent="0.3">
      <c r="C77" t="s">
        <v>72</v>
      </c>
      <c r="D77" t="s">
        <v>300</v>
      </c>
      <c r="E77" s="17" t="s">
        <v>310</v>
      </c>
      <c r="M77" s="25"/>
    </row>
    <row r="78" spans="3:18" x14ac:dyDescent="0.3">
      <c r="C78" t="s">
        <v>72</v>
      </c>
      <c r="D78" t="s">
        <v>300</v>
      </c>
      <c r="E78" s="17" t="s">
        <v>311</v>
      </c>
      <c r="M78" s="25"/>
    </row>
    <row r="79" spans="3:18" x14ac:dyDescent="0.3">
      <c r="C79" t="s">
        <v>72</v>
      </c>
      <c r="D79" t="s">
        <v>300</v>
      </c>
      <c r="E79" s="17" t="s">
        <v>312</v>
      </c>
      <c r="M79" s="25"/>
    </row>
    <row r="80" spans="3:18" x14ac:dyDescent="0.3">
      <c r="C80" t="s">
        <v>72</v>
      </c>
      <c r="D80" t="s">
        <v>300</v>
      </c>
      <c r="E80" s="17" t="s">
        <v>163</v>
      </c>
      <c r="M80" s="25"/>
    </row>
    <row r="81" spans="3:13" x14ac:dyDescent="0.3">
      <c r="C81" t="s">
        <v>72</v>
      </c>
      <c r="D81" t="s">
        <v>300</v>
      </c>
      <c r="E81" s="17" t="s">
        <v>166</v>
      </c>
      <c r="M81" s="25"/>
    </row>
    <row r="82" spans="3:13" x14ac:dyDescent="0.3">
      <c r="E82" s="17"/>
      <c r="M82" s="25"/>
    </row>
    <row r="83" spans="3:13" x14ac:dyDescent="0.3">
      <c r="E83" s="17"/>
      <c r="M83" s="25"/>
    </row>
    <row r="84" spans="3:13" x14ac:dyDescent="0.3">
      <c r="E84" s="17"/>
      <c r="M84" s="25"/>
    </row>
    <row r="85" spans="3:13" x14ac:dyDescent="0.3">
      <c r="E85" s="17"/>
      <c r="M85" s="25"/>
    </row>
    <row r="88" spans="3:13" x14ac:dyDescent="0.3">
      <c r="M88" s="25"/>
    </row>
    <row r="90" spans="3:13" x14ac:dyDescent="0.3">
      <c r="C90" t="s">
        <v>71</v>
      </c>
      <c r="D90" t="s">
        <v>10</v>
      </c>
      <c r="E90" t="s">
        <v>9</v>
      </c>
      <c r="G90" t="s">
        <v>11</v>
      </c>
    </row>
    <row r="92" spans="3:13" x14ac:dyDescent="0.3">
      <c r="C92" t="s">
        <v>71</v>
      </c>
      <c r="D92" t="s">
        <v>12</v>
      </c>
      <c r="E92" t="s">
        <v>37</v>
      </c>
      <c r="G92" t="s">
        <v>13</v>
      </c>
    </row>
    <row r="94" spans="3:13" x14ac:dyDescent="0.3">
      <c r="C94" t="s">
        <v>40</v>
      </c>
      <c r="D94" t="s">
        <v>54</v>
      </c>
      <c r="E94" t="s">
        <v>37</v>
      </c>
      <c r="G94" t="s">
        <v>13</v>
      </c>
    </row>
    <row r="95" spans="3:13" x14ac:dyDescent="0.3">
      <c r="E95" t="s">
        <v>55</v>
      </c>
      <c r="G95" s="2">
        <v>0.2</v>
      </c>
    </row>
    <row r="96" spans="3:13" x14ac:dyDescent="0.3">
      <c r="E96" t="s">
        <v>56</v>
      </c>
      <c r="G96" s="2">
        <v>0.2</v>
      </c>
    </row>
    <row r="97" spans="3:7" x14ac:dyDescent="0.3">
      <c r="E97" t="s">
        <v>57</v>
      </c>
      <c r="G97" s="2">
        <v>0.1</v>
      </c>
    </row>
    <row r="98" spans="3:7" x14ac:dyDescent="0.3">
      <c r="E98" t="s">
        <v>391</v>
      </c>
      <c r="G98" s="2">
        <v>0.1</v>
      </c>
    </row>
    <row r="100" spans="3:7" x14ac:dyDescent="0.3">
      <c r="C100" t="s">
        <v>72</v>
      </c>
      <c r="D100" t="s">
        <v>5</v>
      </c>
      <c r="E100" t="s">
        <v>37</v>
      </c>
      <c r="F100" t="s">
        <v>169</v>
      </c>
    </row>
    <row r="101" spans="3:7" x14ac:dyDescent="0.3">
      <c r="E101" t="s">
        <v>2</v>
      </c>
    </row>
    <row r="102" spans="3:7" x14ac:dyDescent="0.3">
      <c r="E102" t="s">
        <v>1</v>
      </c>
    </row>
    <row r="103" spans="3:7" x14ac:dyDescent="0.3">
      <c r="E103" t="s">
        <v>3</v>
      </c>
    </row>
    <row r="126" spans="3:5" x14ac:dyDescent="0.3">
      <c r="C126" t="s">
        <v>43</v>
      </c>
      <c r="D126" t="s">
        <v>42</v>
      </c>
      <c r="E126" t="s">
        <v>3</v>
      </c>
    </row>
    <row r="127" spans="3:5" x14ac:dyDescent="0.3">
      <c r="E127" t="s">
        <v>1</v>
      </c>
    </row>
    <row r="128" spans="3:5" x14ac:dyDescent="0.3">
      <c r="E128" t="s">
        <v>2</v>
      </c>
    </row>
    <row r="130" spans="3:9" x14ac:dyDescent="0.3">
      <c r="C130" t="s">
        <v>114</v>
      </c>
      <c r="D130" t="s">
        <v>4</v>
      </c>
      <c r="E130" t="s">
        <v>3</v>
      </c>
    </row>
    <row r="131" spans="3:9" x14ac:dyDescent="0.3">
      <c r="E131" t="s">
        <v>1</v>
      </c>
    </row>
    <row r="132" spans="3:9" x14ac:dyDescent="0.3">
      <c r="E132" t="s">
        <v>2</v>
      </c>
    </row>
    <row r="134" spans="3:9" x14ac:dyDescent="0.3">
      <c r="C134" t="s">
        <v>115</v>
      </c>
      <c r="D134" t="s">
        <v>45</v>
      </c>
      <c r="E134" t="s">
        <v>37</v>
      </c>
      <c r="G134" t="s">
        <v>41</v>
      </c>
    </row>
    <row r="135" spans="3:9" x14ac:dyDescent="0.3">
      <c r="E135" t="s">
        <v>46</v>
      </c>
      <c r="G135">
        <v>25</v>
      </c>
    </row>
    <row r="136" spans="3:9" x14ac:dyDescent="0.3">
      <c r="E136" t="s">
        <v>47</v>
      </c>
      <c r="G136">
        <v>20</v>
      </c>
    </row>
    <row r="137" spans="3:9" x14ac:dyDescent="0.3">
      <c r="E137" t="s">
        <v>53</v>
      </c>
      <c r="G137">
        <v>15</v>
      </c>
    </row>
    <row r="138" spans="3:9" x14ac:dyDescent="0.3">
      <c r="E138" t="s">
        <v>48</v>
      </c>
      <c r="G138">
        <v>10</v>
      </c>
    </row>
    <row r="140" spans="3:9" ht="28.8" x14ac:dyDescent="0.3">
      <c r="D140" s="1" t="s">
        <v>116</v>
      </c>
      <c r="E140" t="s">
        <v>37</v>
      </c>
      <c r="G140" t="s">
        <v>2</v>
      </c>
      <c r="H140" t="s">
        <v>3</v>
      </c>
      <c r="I140" t="s">
        <v>48</v>
      </c>
    </row>
    <row r="141" spans="3:9" x14ac:dyDescent="0.3">
      <c r="E141" t="s">
        <v>21</v>
      </c>
      <c r="G141">
        <v>40</v>
      </c>
      <c r="H141">
        <v>5</v>
      </c>
    </row>
    <row r="142" spans="3:9" x14ac:dyDescent="0.3">
      <c r="E142" t="s">
        <v>22</v>
      </c>
      <c r="G142">
        <v>60</v>
      </c>
      <c r="H142">
        <v>10</v>
      </c>
    </row>
    <row r="143" spans="3:9" x14ac:dyDescent="0.3">
      <c r="E143" t="s">
        <v>23</v>
      </c>
      <c r="G143">
        <v>40</v>
      </c>
      <c r="H143">
        <v>10</v>
      </c>
    </row>
    <row r="144" spans="3:9" x14ac:dyDescent="0.3">
      <c r="E144" t="s">
        <v>24</v>
      </c>
      <c r="G144">
        <v>20</v>
      </c>
      <c r="H144">
        <v>5</v>
      </c>
    </row>
    <row r="145" spans="3:8" x14ac:dyDescent="0.3">
      <c r="E145" t="s">
        <v>25</v>
      </c>
      <c r="G145">
        <v>10</v>
      </c>
      <c r="H145">
        <v>5</v>
      </c>
    </row>
    <row r="146" spans="3:8" x14ac:dyDescent="0.3">
      <c r="E146" t="s">
        <v>26</v>
      </c>
      <c r="G146">
        <v>5</v>
      </c>
      <c r="H146">
        <v>5</v>
      </c>
    </row>
    <row r="151" spans="3:8" x14ac:dyDescent="0.3">
      <c r="C151" t="s">
        <v>44</v>
      </c>
      <c r="D151" t="s">
        <v>117</v>
      </c>
      <c r="E151" t="s">
        <v>37</v>
      </c>
    </row>
    <row r="152" spans="3:8" x14ac:dyDescent="0.3">
      <c r="E152" t="s">
        <v>58</v>
      </c>
    </row>
    <row r="153" spans="3:8" x14ac:dyDescent="0.3">
      <c r="E153" t="s">
        <v>62</v>
      </c>
    </row>
    <row r="155" spans="3:8" x14ac:dyDescent="0.3">
      <c r="E155" t="s">
        <v>59</v>
      </c>
    </row>
    <row r="156" spans="3:8" x14ac:dyDescent="0.3">
      <c r="E156" t="s">
        <v>60</v>
      </c>
    </row>
    <row r="157" spans="3:8" x14ac:dyDescent="0.3">
      <c r="E157" t="s">
        <v>61</v>
      </c>
    </row>
    <row r="160" spans="3:8" x14ac:dyDescent="0.3">
      <c r="C160" t="s">
        <v>134</v>
      </c>
      <c r="D160" t="s">
        <v>135</v>
      </c>
      <c r="E160" t="s">
        <v>37</v>
      </c>
      <c r="G160" t="s">
        <v>136</v>
      </c>
    </row>
    <row r="161" spans="3:11" x14ac:dyDescent="0.3">
      <c r="E161" t="s">
        <v>50</v>
      </c>
      <c r="G161">
        <v>-1</v>
      </c>
    </row>
    <row r="162" spans="3:11" x14ac:dyDescent="0.3">
      <c r="E162" t="s">
        <v>51</v>
      </c>
      <c r="G162">
        <v>-1</v>
      </c>
    </row>
    <row r="163" spans="3:11" x14ac:dyDescent="0.3">
      <c r="E163" t="s">
        <v>63</v>
      </c>
      <c r="G163">
        <v>-1</v>
      </c>
    </row>
    <row r="165" spans="3:11" x14ac:dyDescent="0.3">
      <c r="C165" t="s">
        <v>134</v>
      </c>
      <c r="D165" t="s">
        <v>133</v>
      </c>
      <c r="E165" t="s">
        <v>37</v>
      </c>
      <c r="G165" t="s">
        <v>70</v>
      </c>
    </row>
    <row r="166" spans="3:11" x14ac:dyDescent="0.3">
      <c r="E166" t="s">
        <v>50</v>
      </c>
      <c r="G166">
        <v>10</v>
      </c>
      <c r="H166">
        <v>12</v>
      </c>
      <c r="I166" s="15">
        <f>+(G166-H166)/G166</f>
        <v>-0.2</v>
      </c>
      <c r="J166" t="e">
        <f>+#REF!*I166</f>
        <v>#REF!</v>
      </c>
      <c r="K166" t="e">
        <f>+#REF!+J166</f>
        <v>#REF!</v>
      </c>
    </row>
    <row r="167" spans="3:11" x14ac:dyDescent="0.3">
      <c r="E167" t="s">
        <v>51</v>
      </c>
      <c r="G167">
        <v>12</v>
      </c>
    </row>
    <row r="168" spans="3:11" x14ac:dyDescent="0.3">
      <c r="E168" t="s">
        <v>63</v>
      </c>
      <c r="G168">
        <v>10</v>
      </c>
    </row>
    <row r="171" spans="3:11" x14ac:dyDescent="0.3">
      <c r="C171" t="s">
        <v>8</v>
      </c>
      <c r="D171" t="s">
        <v>162</v>
      </c>
      <c r="E171" t="s">
        <v>129</v>
      </c>
      <c r="F171" t="s">
        <v>157</v>
      </c>
      <c r="G171" s="17" t="s">
        <v>163</v>
      </c>
      <c r="H171" s="17" t="s">
        <v>164</v>
      </c>
      <c r="I171" s="17" t="s">
        <v>165</v>
      </c>
      <c r="J171" s="17" t="s">
        <v>166</v>
      </c>
    </row>
    <row r="172" spans="3:11" x14ac:dyDescent="0.3">
      <c r="C172" t="s">
        <v>21</v>
      </c>
      <c r="D172" t="s">
        <v>144</v>
      </c>
      <c r="E172" t="s">
        <v>145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3:11" x14ac:dyDescent="0.3">
      <c r="C173" t="s">
        <v>21</v>
      </c>
      <c r="D173" t="s">
        <v>144</v>
      </c>
      <c r="E173" t="s">
        <v>146</v>
      </c>
      <c r="F173">
        <v>1.25</v>
      </c>
      <c r="G173">
        <v>1</v>
      </c>
      <c r="H173">
        <v>1</v>
      </c>
      <c r="I173">
        <v>1</v>
      </c>
      <c r="J173">
        <v>1</v>
      </c>
    </row>
    <row r="174" spans="3:11" x14ac:dyDescent="0.3">
      <c r="C174" t="s">
        <v>21</v>
      </c>
      <c r="D174" t="s">
        <v>144</v>
      </c>
      <c r="E174" t="s">
        <v>147</v>
      </c>
      <c r="F174">
        <v>1.25</v>
      </c>
      <c r="G174">
        <v>0</v>
      </c>
      <c r="H174">
        <v>0</v>
      </c>
      <c r="I174">
        <v>0</v>
      </c>
      <c r="J174">
        <v>0</v>
      </c>
    </row>
    <row r="175" spans="3:11" x14ac:dyDescent="0.3">
      <c r="C175" t="s">
        <v>21</v>
      </c>
      <c r="D175" t="s">
        <v>148</v>
      </c>
      <c r="E175" t="s">
        <v>149</v>
      </c>
      <c r="F175" s="16">
        <v>1</v>
      </c>
      <c r="G175">
        <v>0</v>
      </c>
      <c r="H175">
        <v>1</v>
      </c>
      <c r="I175">
        <v>2</v>
      </c>
      <c r="J175">
        <v>2</v>
      </c>
    </row>
    <row r="176" spans="3:11" x14ac:dyDescent="0.3">
      <c r="C176" t="s">
        <v>21</v>
      </c>
      <c r="D176" t="s">
        <v>148</v>
      </c>
      <c r="E176" t="s">
        <v>150</v>
      </c>
      <c r="F176">
        <v>1</v>
      </c>
      <c r="G176">
        <v>0</v>
      </c>
      <c r="H176">
        <v>0</v>
      </c>
      <c r="I176">
        <v>0</v>
      </c>
      <c r="J176">
        <v>0</v>
      </c>
    </row>
    <row r="177" spans="3:10" x14ac:dyDescent="0.3">
      <c r="C177" t="s">
        <v>21</v>
      </c>
      <c r="D177" t="s">
        <v>148</v>
      </c>
      <c r="E177" t="s">
        <v>151</v>
      </c>
      <c r="F177" s="16">
        <v>1</v>
      </c>
      <c r="G177">
        <v>0</v>
      </c>
      <c r="H177">
        <v>0</v>
      </c>
      <c r="I177">
        <v>0</v>
      </c>
      <c r="J177">
        <v>0</v>
      </c>
    </row>
    <row r="178" spans="3:10" x14ac:dyDescent="0.3">
      <c r="C178" t="s">
        <v>21</v>
      </c>
      <c r="D178" t="s">
        <v>148</v>
      </c>
      <c r="E178" t="s">
        <v>152</v>
      </c>
      <c r="F178">
        <v>1</v>
      </c>
      <c r="G178">
        <v>0</v>
      </c>
      <c r="H178">
        <v>0</v>
      </c>
      <c r="I178">
        <v>0</v>
      </c>
      <c r="J178">
        <v>0</v>
      </c>
    </row>
    <row r="179" spans="3:10" x14ac:dyDescent="0.3">
      <c r="C179" t="s">
        <v>21</v>
      </c>
      <c r="D179" t="s">
        <v>153</v>
      </c>
      <c r="E179" t="s">
        <v>154</v>
      </c>
      <c r="F179">
        <v>1</v>
      </c>
      <c r="G179">
        <v>1</v>
      </c>
      <c r="H179">
        <v>1</v>
      </c>
      <c r="I179">
        <v>2</v>
      </c>
      <c r="J179">
        <v>3</v>
      </c>
    </row>
    <row r="180" spans="3:10" x14ac:dyDescent="0.3">
      <c r="C180" t="s">
        <v>21</v>
      </c>
      <c r="D180" t="s">
        <v>153</v>
      </c>
      <c r="E180" t="s">
        <v>155</v>
      </c>
      <c r="F180" s="16">
        <v>1</v>
      </c>
      <c r="G180">
        <v>0</v>
      </c>
      <c r="H180">
        <v>1</v>
      </c>
      <c r="I180">
        <v>1</v>
      </c>
      <c r="J180">
        <v>2</v>
      </c>
    </row>
    <row r="181" spans="3:10" x14ac:dyDescent="0.3">
      <c r="C181" t="s">
        <v>21</v>
      </c>
      <c r="D181" t="s">
        <v>153</v>
      </c>
      <c r="E181" t="s">
        <v>156</v>
      </c>
      <c r="F181">
        <v>1.5</v>
      </c>
      <c r="G181">
        <v>0</v>
      </c>
      <c r="H181">
        <v>0</v>
      </c>
      <c r="I181">
        <v>0</v>
      </c>
      <c r="J181">
        <v>0</v>
      </c>
    </row>
    <row r="182" spans="3:10" x14ac:dyDescent="0.3">
      <c r="C182" t="s">
        <v>22</v>
      </c>
      <c r="D182" t="s">
        <v>144</v>
      </c>
      <c r="E182" t="s">
        <v>145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3:10" x14ac:dyDescent="0.3">
      <c r="C183" t="s">
        <v>22</v>
      </c>
      <c r="D183" t="s">
        <v>144</v>
      </c>
      <c r="E183" t="s">
        <v>146</v>
      </c>
      <c r="F183">
        <v>2</v>
      </c>
      <c r="G183">
        <v>1</v>
      </c>
      <c r="H183">
        <v>1</v>
      </c>
      <c r="I183">
        <v>1</v>
      </c>
      <c r="J183">
        <v>2</v>
      </c>
    </row>
    <row r="184" spans="3:10" x14ac:dyDescent="0.3">
      <c r="C184" t="s">
        <v>22</v>
      </c>
      <c r="D184" t="s">
        <v>144</v>
      </c>
      <c r="E184" t="s">
        <v>147</v>
      </c>
      <c r="F184">
        <v>2</v>
      </c>
      <c r="G184">
        <v>0</v>
      </c>
      <c r="H184">
        <v>0</v>
      </c>
      <c r="I184">
        <v>1</v>
      </c>
      <c r="J184">
        <v>2</v>
      </c>
    </row>
    <row r="185" spans="3:10" x14ac:dyDescent="0.3">
      <c r="C185" t="s">
        <v>22</v>
      </c>
      <c r="D185" t="s">
        <v>148</v>
      </c>
      <c r="E185" t="s">
        <v>149</v>
      </c>
      <c r="F185" s="16">
        <v>1</v>
      </c>
      <c r="G185">
        <v>1</v>
      </c>
      <c r="H185">
        <v>2</v>
      </c>
      <c r="I185">
        <v>4</v>
      </c>
      <c r="J185">
        <v>7</v>
      </c>
    </row>
    <row r="186" spans="3:10" x14ac:dyDescent="0.3">
      <c r="C186" t="s">
        <v>22</v>
      </c>
      <c r="D186" t="s">
        <v>148</v>
      </c>
      <c r="E186" t="s">
        <v>150</v>
      </c>
      <c r="F186">
        <v>1</v>
      </c>
      <c r="G186">
        <v>0</v>
      </c>
      <c r="H186">
        <v>0</v>
      </c>
      <c r="I186">
        <v>1</v>
      </c>
      <c r="J186">
        <v>2</v>
      </c>
    </row>
    <row r="187" spans="3:10" x14ac:dyDescent="0.3">
      <c r="C187" t="s">
        <v>22</v>
      </c>
      <c r="D187" t="s">
        <v>148</v>
      </c>
      <c r="E187" t="s">
        <v>151</v>
      </c>
      <c r="F187" s="16">
        <v>1</v>
      </c>
      <c r="G187">
        <v>1</v>
      </c>
      <c r="H187">
        <v>1</v>
      </c>
      <c r="I187">
        <v>1</v>
      </c>
      <c r="J187">
        <v>2</v>
      </c>
    </row>
    <row r="188" spans="3:10" x14ac:dyDescent="0.3">
      <c r="C188" t="s">
        <v>22</v>
      </c>
      <c r="D188" t="s">
        <v>148</v>
      </c>
      <c r="E188" t="s">
        <v>152</v>
      </c>
      <c r="F188">
        <v>1</v>
      </c>
      <c r="G188">
        <v>0</v>
      </c>
      <c r="H188">
        <v>0</v>
      </c>
      <c r="I188">
        <v>1</v>
      </c>
      <c r="J188">
        <v>1</v>
      </c>
    </row>
    <row r="189" spans="3:10" x14ac:dyDescent="0.3">
      <c r="C189" t="s">
        <v>22</v>
      </c>
      <c r="D189" t="s">
        <v>153</v>
      </c>
      <c r="E189" t="s">
        <v>154</v>
      </c>
      <c r="F189">
        <v>1</v>
      </c>
      <c r="G189">
        <v>1</v>
      </c>
      <c r="H189">
        <v>2</v>
      </c>
      <c r="I189">
        <v>3</v>
      </c>
      <c r="J189">
        <v>4</v>
      </c>
    </row>
    <row r="190" spans="3:10" x14ac:dyDescent="0.3">
      <c r="C190" t="s">
        <v>22</v>
      </c>
      <c r="D190" t="s">
        <v>153</v>
      </c>
      <c r="E190" t="s">
        <v>155</v>
      </c>
      <c r="F190" s="16">
        <v>1</v>
      </c>
      <c r="G190">
        <v>1</v>
      </c>
      <c r="H190">
        <v>1</v>
      </c>
      <c r="I190">
        <v>1</v>
      </c>
      <c r="J190">
        <v>2</v>
      </c>
    </row>
    <row r="191" spans="3:10" x14ac:dyDescent="0.3">
      <c r="C191" t="s">
        <v>22</v>
      </c>
      <c r="D191" t="s">
        <v>153</v>
      </c>
      <c r="E191" t="s">
        <v>156</v>
      </c>
      <c r="F191">
        <v>1.5</v>
      </c>
      <c r="G191">
        <v>0</v>
      </c>
      <c r="H191">
        <v>0</v>
      </c>
      <c r="I191">
        <v>0</v>
      </c>
      <c r="J191">
        <v>1</v>
      </c>
    </row>
    <row r="192" spans="3:10" x14ac:dyDescent="0.3">
      <c r="C192" t="s">
        <v>23</v>
      </c>
      <c r="D192" t="s">
        <v>144</v>
      </c>
      <c r="E192" t="s">
        <v>145</v>
      </c>
      <c r="F192">
        <v>0</v>
      </c>
      <c r="G192">
        <v>0</v>
      </c>
      <c r="H192">
        <v>0</v>
      </c>
      <c r="I192">
        <v>0</v>
      </c>
      <c r="J192">
        <v>0</v>
      </c>
    </row>
    <row r="193" spans="3:10" x14ac:dyDescent="0.3">
      <c r="C193" t="s">
        <v>23</v>
      </c>
      <c r="D193" t="s">
        <v>144</v>
      </c>
      <c r="E193" t="s">
        <v>146</v>
      </c>
      <c r="F193">
        <v>2</v>
      </c>
      <c r="G193">
        <v>1</v>
      </c>
      <c r="H193">
        <v>1</v>
      </c>
      <c r="I193">
        <v>1</v>
      </c>
      <c r="J193">
        <v>2</v>
      </c>
    </row>
    <row r="194" spans="3:10" x14ac:dyDescent="0.3">
      <c r="C194" t="s">
        <v>23</v>
      </c>
      <c r="D194" t="s">
        <v>144</v>
      </c>
      <c r="E194" t="s">
        <v>147</v>
      </c>
      <c r="F194">
        <v>1.5</v>
      </c>
      <c r="G194">
        <v>1</v>
      </c>
      <c r="H194">
        <v>0</v>
      </c>
      <c r="I194">
        <v>1</v>
      </c>
      <c r="J194">
        <v>2</v>
      </c>
    </row>
    <row r="195" spans="3:10" x14ac:dyDescent="0.3">
      <c r="C195" t="s">
        <v>23</v>
      </c>
      <c r="D195" t="s">
        <v>148</v>
      </c>
      <c r="E195" t="s">
        <v>149</v>
      </c>
      <c r="F195" s="16">
        <v>1</v>
      </c>
      <c r="G195">
        <v>0</v>
      </c>
      <c r="H195">
        <v>1</v>
      </c>
      <c r="I195">
        <v>4</v>
      </c>
      <c r="J195">
        <v>7</v>
      </c>
    </row>
    <row r="196" spans="3:10" x14ac:dyDescent="0.3">
      <c r="C196" t="s">
        <v>23</v>
      </c>
      <c r="D196" t="s">
        <v>148</v>
      </c>
      <c r="E196" t="s">
        <v>150</v>
      </c>
      <c r="F196">
        <v>1</v>
      </c>
      <c r="G196">
        <v>0</v>
      </c>
      <c r="H196">
        <v>0</v>
      </c>
      <c r="I196">
        <v>1</v>
      </c>
      <c r="J196">
        <v>2</v>
      </c>
    </row>
    <row r="197" spans="3:10" x14ac:dyDescent="0.3">
      <c r="C197" t="s">
        <v>23</v>
      </c>
      <c r="D197" t="s">
        <v>148</v>
      </c>
      <c r="E197" t="s">
        <v>151</v>
      </c>
      <c r="F197" s="16">
        <v>1</v>
      </c>
      <c r="G197">
        <v>0</v>
      </c>
      <c r="H197">
        <v>0</v>
      </c>
      <c r="I197">
        <v>0</v>
      </c>
      <c r="J197">
        <v>0</v>
      </c>
    </row>
    <row r="198" spans="3:10" x14ac:dyDescent="0.3">
      <c r="C198" t="s">
        <v>23</v>
      </c>
      <c r="D198" t="s">
        <v>148</v>
      </c>
      <c r="E198" t="s">
        <v>152</v>
      </c>
      <c r="F198">
        <v>1</v>
      </c>
      <c r="G198">
        <v>0</v>
      </c>
      <c r="H198">
        <v>0</v>
      </c>
      <c r="I198">
        <v>1</v>
      </c>
      <c r="J198">
        <v>1</v>
      </c>
    </row>
    <row r="199" spans="3:10" x14ac:dyDescent="0.3">
      <c r="C199" t="s">
        <v>23</v>
      </c>
      <c r="D199" t="s">
        <v>153</v>
      </c>
      <c r="E199" t="s">
        <v>154</v>
      </c>
      <c r="F199">
        <v>1</v>
      </c>
      <c r="G199">
        <v>1</v>
      </c>
      <c r="H199">
        <v>2</v>
      </c>
      <c r="I199">
        <v>3</v>
      </c>
      <c r="J199">
        <v>4</v>
      </c>
    </row>
    <row r="200" spans="3:10" x14ac:dyDescent="0.3">
      <c r="C200" t="s">
        <v>23</v>
      </c>
      <c r="D200" t="s">
        <v>153</v>
      </c>
      <c r="E200" t="s">
        <v>155</v>
      </c>
      <c r="F200" s="16">
        <v>1</v>
      </c>
      <c r="G200">
        <v>0</v>
      </c>
      <c r="H200">
        <v>0</v>
      </c>
      <c r="I200">
        <v>0</v>
      </c>
      <c r="J200">
        <v>1</v>
      </c>
    </row>
    <row r="201" spans="3:10" x14ac:dyDescent="0.3">
      <c r="C201" t="s">
        <v>23</v>
      </c>
      <c r="D201" t="s">
        <v>153</v>
      </c>
      <c r="E201" t="s">
        <v>156</v>
      </c>
      <c r="F201">
        <v>1.5</v>
      </c>
      <c r="G201">
        <v>0</v>
      </c>
      <c r="H201">
        <v>0</v>
      </c>
      <c r="I201">
        <v>0</v>
      </c>
      <c r="J201">
        <v>1</v>
      </c>
    </row>
    <row r="202" spans="3:10" x14ac:dyDescent="0.3">
      <c r="C202" t="s">
        <v>32</v>
      </c>
      <c r="D202" t="s">
        <v>144</v>
      </c>
      <c r="E202" t="s">
        <v>145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3:10" x14ac:dyDescent="0.3">
      <c r="C203" t="s">
        <v>32</v>
      </c>
      <c r="D203" t="s">
        <v>144</v>
      </c>
      <c r="E203" t="s">
        <v>146</v>
      </c>
      <c r="F203">
        <v>1.5</v>
      </c>
      <c r="G203">
        <v>1</v>
      </c>
      <c r="H203">
        <v>1</v>
      </c>
      <c r="I203">
        <v>1</v>
      </c>
      <c r="J203">
        <v>2</v>
      </c>
    </row>
    <row r="204" spans="3:10" x14ac:dyDescent="0.3">
      <c r="C204" t="s">
        <v>32</v>
      </c>
      <c r="D204" t="s">
        <v>144</v>
      </c>
      <c r="E204" t="s">
        <v>147</v>
      </c>
      <c r="F204">
        <v>1.5</v>
      </c>
      <c r="G204">
        <v>0</v>
      </c>
      <c r="H204">
        <v>0</v>
      </c>
      <c r="I204">
        <v>1</v>
      </c>
      <c r="J204">
        <v>2</v>
      </c>
    </row>
    <row r="205" spans="3:10" x14ac:dyDescent="0.3">
      <c r="C205" t="s">
        <v>32</v>
      </c>
      <c r="D205" t="s">
        <v>148</v>
      </c>
      <c r="E205" t="s">
        <v>149</v>
      </c>
      <c r="F205" s="16">
        <v>1</v>
      </c>
      <c r="G205">
        <v>0</v>
      </c>
      <c r="H205">
        <v>1</v>
      </c>
      <c r="I205">
        <v>2</v>
      </c>
      <c r="J205">
        <v>3</v>
      </c>
    </row>
    <row r="206" spans="3:10" x14ac:dyDescent="0.3">
      <c r="C206" t="s">
        <v>32</v>
      </c>
      <c r="D206" t="s">
        <v>148</v>
      </c>
      <c r="E206" t="s">
        <v>150</v>
      </c>
      <c r="F206">
        <v>1</v>
      </c>
      <c r="G206">
        <v>0</v>
      </c>
      <c r="H206">
        <v>0</v>
      </c>
      <c r="I206">
        <v>0</v>
      </c>
      <c r="J206">
        <v>0</v>
      </c>
    </row>
    <row r="207" spans="3:10" x14ac:dyDescent="0.3">
      <c r="C207" t="s">
        <v>32</v>
      </c>
      <c r="D207" t="s">
        <v>148</v>
      </c>
      <c r="E207" t="s">
        <v>151</v>
      </c>
      <c r="F207" s="16">
        <v>1</v>
      </c>
      <c r="G207">
        <v>0</v>
      </c>
      <c r="H207">
        <v>0</v>
      </c>
      <c r="I207">
        <v>0</v>
      </c>
      <c r="J207">
        <v>0</v>
      </c>
    </row>
    <row r="208" spans="3:10" x14ac:dyDescent="0.3">
      <c r="C208" t="s">
        <v>32</v>
      </c>
      <c r="D208" t="s">
        <v>148</v>
      </c>
      <c r="E208" t="s">
        <v>152</v>
      </c>
      <c r="F208">
        <v>1</v>
      </c>
      <c r="G208">
        <v>0</v>
      </c>
      <c r="H208">
        <v>0</v>
      </c>
      <c r="I208">
        <v>0</v>
      </c>
      <c r="J208">
        <v>0</v>
      </c>
    </row>
    <row r="209" spans="3:10" x14ac:dyDescent="0.3">
      <c r="C209" t="s">
        <v>32</v>
      </c>
      <c r="D209" t="s">
        <v>153</v>
      </c>
      <c r="E209" t="s">
        <v>154</v>
      </c>
      <c r="F209">
        <v>1</v>
      </c>
      <c r="G209">
        <v>1</v>
      </c>
      <c r="H209">
        <v>2</v>
      </c>
      <c r="I209">
        <v>3</v>
      </c>
      <c r="J209">
        <v>4</v>
      </c>
    </row>
    <row r="210" spans="3:10" x14ac:dyDescent="0.3">
      <c r="C210" t="s">
        <v>32</v>
      </c>
      <c r="D210" t="s">
        <v>153</v>
      </c>
      <c r="E210" t="s">
        <v>155</v>
      </c>
      <c r="F210" s="16">
        <v>1</v>
      </c>
      <c r="G210">
        <v>0</v>
      </c>
      <c r="H210">
        <v>0</v>
      </c>
      <c r="I210">
        <v>0</v>
      </c>
      <c r="J210">
        <v>0</v>
      </c>
    </row>
    <row r="211" spans="3:10" x14ac:dyDescent="0.3">
      <c r="C211" t="s">
        <v>32</v>
      </c>
      <c r="D211" t="s">
        <v>153</v>
      </c>
      <c r="E211" t="s">
        <v>156</v>
      </c>
      <c r="F211">
        <v>1.5</v>
      </c>
      <c r="G211">
        <v>0</v>
      </c>
      <c r="H211">
        <v>0</v>
      </c>
      <c r="I211">
        <v>0</v>
      </c>
      <c r="J211">
        <v>0</v>
      </c>
    </row>
  </sheetData>
  <pageMargins left="0.7" right="0.7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C5:G40"/>
  <sheetViews>
    <sheetView zoomScale="85" zoomScaleNormal="85" workbookViewId="0">
      <selection activeCell="F6" sqref="F6:F40"/>
    </sheetView>
  </sheetViews>
  <sheetFormatPr defaultRowHeight="14.4" x14ac:dyDescent="0.3"/>
  <cols>
    <col min="6" max="6" width="28" bestFit="1" customWidth="1"/>
  </cols>
  <sheetData>
    <row r="5" spans="3:6" x14ac:dyDescent="0.3">
      <c r="D5" t="s">
        <v>72</v>
      </c>
      <c r="E5" t="s">
        <v>198</v>
      </c>
      <c r="F5" t="s">
        <v>37</v>
      </c>
    </row>
    <row r="6" spans="3:6" x14ac:dyDescent="0.3">
      <c r="D6" t="s">
        <v>72</v>
      </c>
      <c r="E6" t="s">
        <v>198</v>
      </c>
      <c r="F6" t="s">
        <v>500</v>
      </c>
    </row>
    <row r="7" spans="3:6" x14ac:dyDescent="0.3">
      <c r="D7" t="s">
        <v>72</v>
      </c>
      <c r="E7" t="s">
        <v>198</v>
      </c>
      <c r="F7" t="s">
        <v>501</v>
      </c>
    </row>
    <row r="8" spans="3:6" x14ac:dyDescent="0.3">
      <c r="D8" t="s">
        <v>72</v>
      </c>
      <c r="E8" t="s">
        <v>198</v>
      </c>
      <c r="F8" t="s">
        <v>502</v>
      </c>
    </row>
    <row r="9" spans="3:6" x14ac:dyDescent="0.3">
      <c r="D9" t="s">
        <v>72</v>
      </c>
      <c r="E9" t="s">
        <v>198</v>
      </c>
      <c r="F9" t="s">
        <v>503</v>
      </c>
    </row>
    <row r="10" spans="3:6" x14ac:dyDescent="0.3">
      <c r="C10" t="s">
        <v>208</v>
      </c>
      <c r="D10" t="s">
        <v>72</v>
      </c>
      <c r="E10" t="s">
        <v>198</v>
      </c>
      <c r="F10" t="s">
        <v>504</v>
      </c>
    </row>
    <row r="11" spans="3:6" x14ac:dyDescent="0.3">
      <c r="D11" t="s">
        <v>72</v>
      </c>
      <c r="E11" t="s">
        <v>198</v>
      </c>
      <c r="F11" t="s">
        <v>505</v>
      </c>
    </row>
    <row r="12" spans="3:6" x14ac:dyDescent="0.3">
      <c r="D12" t="s">
        <v>72</v>
      </c>
      <c r="E12" t="s">
        <v>198</v>
      </c>
      <c r="F12" t="s">
        <v>506</v>
      </c>
    </row>
    <row r="13" spans="3:6" x14ac:dyDescent="0.3">
      <c r="D13" t="s">
        <v>72</v>
      </c>
      <c r="E13" t="s">
        <v>198</v>
      </c>
      <c r="F13" t="s">
        <v>507</v>
      </c>
    </row>
    <row r="14" spans="3:6" x14ac:dyDescent="0.3">
      <c r="D14" t="s">
        <v>72</v>
      </c>
      <c r="E14" t="s">
        <v>198</v>
      </c>
      <c r="F14" t="s">
        <v>508</v>
      </c>
    </row>
    <row r="15" spans="3:6" x14ac:dyDescent="0.3">
      <c r="D15" t="s">
        <v>72</v>
      </c>
      <c r="E15" t="s">
        <v>198</v>
      </c>
      <c r="F15" t="s">
        <v>509</v>
      </c>
    </row>
    <row r="16" spans="3:6" x14ac:dyDescent="0.3">
      <c r="D16" t="s">
        <v>72</v>
      </c>
      <c r="E16" t="s">
        <v>198</v>
      </c>
      <c r="F16" t="s">
        <v>510</v>
      </c>
    </row>
    <row r="17" spans="4:7" x14ac:dyDescent="0.3">
      <c r="D17" t="s">
        <v>72</v>
      </c>
      <c r="E17" t="s">
        <v>198</v>
      </c>
      <c r="F17" t="s">
        <v>511</v>
      </c>
    </row>
    <row r="18" spans="4:7" x14ac:dyDescent="0.3">
      <c r="D18" t="s">
        <v>72</v>
      </c>
      <c r="E18" t="s">
        <v>198</v>
      </c>
      <c r="F18" t="s">
        <v>512</v>
      </c>
    </row>
    <row r="19" spans="4:7" x14ac:dyDescent="0.3">
      <c r="D19" t="s">
        <v>72</v>
      </c>
      <c r="E19" t="s">
        <v>198</v>
      </c>
      <c r="F19" t="s">
        <v>513</v>
      </c>
    </row>
    <row r="20" spans="4:7" x14ac:dyDescent="0.3">
      <c r="D20" t="s">
        <v>72</v>
      </c>
      <c r="E20" t="s">
        <v>198</v>
      </c>
      <c r="F20" t="s">
        <v>514</v>
      </c>
    </row>
    <row r="21" spans="4:7" x14ac:dyDescent="0.3">
      <c r="D21" t="s">
        <v>72</v>
      </c>
      <c r="E21" t="s">
        <v>198</v>
      </c>
      <c r="F21" t="s">
        <v>515</v>
      </c>
    </row>
    <row r="22" spans="4:7" x14ac:dyDescent="0.3">
      <c r="D22" t="s">
        <v>72</v>
      </c>
      <c r="E22" t="s">
        <v>198</v>
      </c>
      <c r="F22" t="s">
        <v>516</v>
      </c>
    </row>
    <row r="23" spans="4:7" x14ac:dyDescent="0.3">
      <c r="D23" t="s">
        <v>72</v>
      </c>
      <c r="E23" t="s">
        <v>198</v>
      </c>
      <c r="F23" t="s">
        <v>517</v>
      </c>
    </row>
    <row r="24" spans="4:7" x14ac:dyDescent="0.3">
      <c r="D24" t="s">
        <v>72</v>
      </c>
      <c r="E24" t="s">
        <v>198</v>
      </c>
      <c r="F24" t="s">
        <v>518</v>
      </c>
    </row>
    <row r="25" spans="4:7" x14ac:dyDescent="0.3">
      <c r="D25" t="s">
        <v>72</v>
      </c>
      <c r="E25" t="s">
        <v>198</v>
      </c>
      <c r="F25" t="s">
        <v>519</v>
      </c>
    </row>
    <row r="26" spans="4:7" x14ac:dyDescent="0.3">
      <c r="D26" t="s">
        <v>72</v>
      </c>
      <c r="E26" t="s">
        <v>198</v>
      </c>
      <c r="F26" t="s">
        <v>511</v>
      </c>
    </row>
    <row r="27" spans="4:7" x14ac:dyDescent="0.3">
      <c r="D27" t="s">
        <v>72</v>
      </c>
      <c r="E27" t="s">
        <v>198</v>
      </c>
      <c r="F27" t="s">
        <v>520</v>
      </c>
    </row>
    <row r="28" spans="4:7" x14ac:dyDescent="0.3">
      <c r="D28" t="s">
        <v>72</v>
      </c>
      <c r="E28" t="s">
        <v>198</v>
      </c>
      <c r="F28" t="s">
        <v>521</v>
      </c>
    </row>
    <row r="29" spans="4:7" x14ac:dyDescent="0.3">
      <c r="D29" t="s">
        <v>72</v>
      </c>
      <c r="E29" t="s">
        <v>198</v>
      </c>
      <c r="F29" t="s">
        <v>522</v>
      </c>
      <c r="G29" t="s">
        <v>254</v>
      </c>
    </row>
    <row r="30" spans="4:7" x14ac:dyDescent="0.3">
      <c r="D30" t="s">
        <v>72</v>
      </c>
      <c r="E30" t="s">
        <v>198</v>
      </c>
      <c r="F30" t="s">
        <v>517</v>
      </c>
    </row>
    <row r="31" spans="4:7" x14ac:dyDescent="0.3">
      <c r="D31" t="s">
        <v>72</v>
      </c>
      <c r="E31" t="s">
        <v>198</v>
      </c>
      <c r="F31" t="s">
        <v>523</v>
      </c>
    </row>
    <row r="32" spans="4:7" x14ac:dyDescent="0.3">
      <c r="D32" t="s">
        <v>72</v>
      </c>
      <c r="E32" t="s">
        <v>198</v>
      </c>
      <c r="F32" t="s">
        <v>524</v>
      </c>
    </row>
    <row r="33" spans="4:6" x14ac:dyDescent="0.3">
      <c r="D33" t="s">
        <v>72</v>
      </c>
      <c r="E33" t="s">
        <v>198</v>
      </c>
      <c r="F33" t="s">
        <v>525</v>
      </c>
    </row>
    <row r="34" spans="4:6" x14ac:dyDescent="0.3">
      <c r="D34" t="s">
        <v>72</v>
      </c>
      <c r="E34" t="s">
        <v>198</v>
      </c>
      <c r="F34" t="s">
        <v>526</v>
      </c>
    </row>
    <row r="35" spans="4:6" x14ac:dyDescent="0.3">
      <c r="D35" t="s">
        <v>72</v>
      </c>
      <c r="E35" t="s">
        <v>198</v>
      </c>
      <c r="F35" t="s">
        <v>527</v>
      </c>
    </row>
    <row r="36" spans="4:6" x14ac:dyDescent="0.3">
      <c r="D36" t="s">
        <v>72</v>
      </c>
      <c r="E36" t="s">
        <v>198</v>
      </c>
      <c r="F36" t="s">
        <v>278</v>
      </c>
    </row>
    <row r="37" spans="4:6" x14ac:dyDescent="0.3">
      <c r="D37" t="s">
        <v>72</v>
      </c>
      <c r="E37" t="s">
        <v>198</v>
      </c>
      <c r="F37" t="s">
        <v>335</v>
      </c>
    </row>
    <row r="38" spans="4:6" x14ac:dyDescent="0.3">
      <c r="D38" t="s">
        <v>72</v>
      </c>
      <c r="E38" t="s">
        <v>198</v>
      </c>
      <c r="F38" t="s">
        <v>279</v>
      </c>
    </row>
    <row r="39" spans="4:6" x14ac:dyDescent="0.3">
      <c r="D39" t="s">
        <v>72</v>
      </c>
      <c r="E39" t="s">
        <v>198</v>
      </c>
      <c r="F39" t="s">
        <v>280</v>
      </c>
    </row>
    <row r="40" spans="4:6" x14ac:dyDescent="0.3">
      <c r="D40" t="s">
        <v>72</v>
      </c>
      <c r="E40" t="s">
        <v>198</v>
      </c>
      <c r="F40" t="s">
        <v>281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W44"/>
  <sheetViews>
    <sheetView topLeftCell="A13" zoomScale="90" zoomScaleNormal="90" workbookViewId="0">
      <selection activeCell="F28" sqref="F28:G42"/>
    </sheetView>
  </sheetViews>
  <sheetFormatPr defaultRowHeight="14.4" x14ac:dyDescent="0.3"/>
  <cols>
    <col min="4" max="4" width="12.5546875" bestFit="1" customWidth="1"/>
    <col min="5" max="5" width="12.5546875" customWidth="1"/>
    <col min="6" max="6" width="15.21875" bestFit="1" customWidth="1"/>
    <col min="7" max="7" width="19.6640625" bestFit="1" customWidth="1"/>
    <col min="8" max="8" width="10.109375" bestFit="1" customWidth="1"/>
    <col min="10" max="10" width="8.88671875" bestFit="1" customWidth="1"/>
    <col min="11" max="11" width="10.33203125" bestFit="1" customWidth="1"/>
    <col min="12" max="12" width="10.33203125" customWidth="1"/>
    <col min="13" max="13" width="13.33203125" bestFit="1" customWidth="1"/>
    <col min="14" max="15" width="13.88671875" customWidth="1"/>
    <col min="17" max="17" width="10" bestFit="1" customWidth="1"/>
  </cols>
  <sheetData>
    <row r="1" spans="1:23" x14ac:dyDescent="0.3">
      <c r="J1" t="s">
        <v>143</v>
      </c>
      <c r="K1" t="s">
        <v>419</v>
      </c>
    </row>
    <row r="2" spans="1:23" x14ac:dyDescent="0.3">
      <c r="J2" t="s">
        <v>259</v>
      </c>
      <c r="K2" t="s">
        <v>421</v>
      </c>
    </row>
    <row r="3" spans="1:23" x14ac:dyDescent="0.3">
      <c r="J3" t="s">
        <v>105</v>
      </c>
      <c r="K3" t="s">
        <v>105</v>
      </c>
    </row>
    <row r="4" spans="1:23" x14ac:dyDescent="0.3">
      <c r="J4" t="s">
        <v>52</v>
      </c>
      <c r="K4" t="s">
        <v>52</v>
      </c>
    </row>
    <row r="5" spans="1:23" x14ac:dyDescent="0.3">
      <c r="K5" t="s">
        <v>420</v>
      </c>
    </row>
    <row r="7" spans="1:23" x14ac:dyDescent="0.3">
      <c r="N7" t="s">
        <v>287</v>
      </c>
    </row>
    <row r="8" spans="1:23" x14ac:dyDescent="0.3">
      <c r="C8" t="s">
        <v>44</v>
      </c>
      <c r="D8" t="s">
        <v>49</v>
      </c>
      <c r="E8" t="s">
        <v>198</v>
      </c>
      <c r="F8" t="s">
        <v>401</v>
      </c>
      <c r="G8" t="s">
        <v>37</v>
      </c>
      <c r="H8" t="s">
        <v>256</v>
      </c>
      <c r="I8" t="s">
        <v>41</v>
      </c>
      <c r="J8" t="s">
        <v>492</v>
      </c>
      <c r="K8" t="s">
        <v>269</v>
      </c>
      <c r="L8" t="s">
        <v>424</v>
      </c>
      <c r="M8" t="s">
        <v>133</v>
      </c>
      <c r="O8" t="s">
        <v>411</v>
      </c>
      <c r="P8" t="s">
        <v>201</v>
      </c>
      <c r="Q8" t="s">
        <v>202</v>
      </c>
      <c r="R8" t="s">
        <v>203</v>
      </c>
      <c r="U8" t="s">
        <v>199</v>
      </c>
      <c r="V8" t="s">
        <v>200</v>
      </c>
    </row>
    <row r="9" spans="1:23" x14ac:dyDescent="0.3">
      <c r="A9">
        <v>100</v>
      </c>
      <c r="B9" s="37" t="s">
        <v>121</v>
      </c>
      <c r="E9" t="s">
        <v>208</v>
      </c>
      <c r="F9">
        <v>100</v>
      </c>
      <c r="G9" t="s">
        <v>121</v>
      </c>
      <c r="H9">
        <v>10</v>
      </c>
      <c r="I9">
        <v>0</v>
      </c>
      <c r="J9" t="s">
        <v>143</v>
      </c>
      <c r="K9" t="s">
        <v>143</v>
      </c>
      <c r="M9">
        <f>+H9</f>
        <v>10</v>
      </c>
      <c r="N9" s="2">
        <f>+(H9-I9)/H9</f>
        <v>1</v>
      </c>
      <c r="O9" s="2"/>
      <c r="P9">
        <v>10</v>
      </c>
      <c r="Q9" t="s">
        <v>154</v>
      </c>
      <c r="R9">
        <v>10</v>
      </c>
      <c r="U9">
        <v>10</v>
      </c>
      <c r="V9">
        <v>14</v>
      </c>
      <c r="W9" s="15">
        <f>+(V9-U9)/U9</f>
        <v>0.4</v>
      </c>
    </row>
    <row r="10" spans="1:23" x14ac:dyDescent="0.3">
      <c r="A10">
        <v>101</v>
      </c>
      <c r="B10" t="s">
        <v>128</v>
      </c>
      <c r="E10" t="s">
        <v>208</v>
      </c>
      <c r="F10">
        <v>101</v>
      </c>
      <c r="G10" t="s">
        <v>128</v>
      </c>
      <c r="H10">
        <v>14</v>
      </c>
      <c r="I10">
        <v>0</v>
      </c>
      <c r="J10" t="s">
        <v>143</v>
      </c>
      <c r="K10" t="s">
        <v>143</v>
      </c>
      <c r="M10">
        <f t="shared" ref="M10:M39" si="0">+H10</f>
        <v>14</v>
      </c>
      <c r="N10" s="2">
        <f t="shared" ref="N10:N42" si="1">+(H10-I10)/H10</f>
        <v>1</v>
      </c>
      <c r="O10" s="2"/>
    </row>
    <row r="11" spans="1:23" x14ac:dyDescent="0.3">
      <c r="A11">
        <v>102</v>
      </c>
      <c r="B11" t="s">
        <v>127</v>
      </c>
      <c r="E11" t="s">
        <v>208</v>
      </c>
      <c r="F11">
        <v>125</v>
      </c>
      <c r="G11" t="s">
        <v>138</v>
      </c>
      <c r="H11">
        <v>12</v>
      </c>
      <c r="I11">
        <v>0</v>
      </c>
      <c r="J11" t="s">
        <v>143</v>
      </c>
      <c r="K11" t="s">
        <v>143</v>
      </c>
      <c r="M11">
        <f t="shared" si="0"/>
        <v>12</v>
      </c>
      <c r="N11" s="2">
        <f t="shared" si="1"/>
        <v>1</v>
      </c>
      <c r="O11" s="2"/>
    </row>
    <row r="12" spans="1:23" x14ac:dyDescent="0.3">
      <c r="A12">
        <v>103</v>
      </c>
      <c r="B12" t="s">
        <v>130</v>
      </c>
      <c r="E12" t="s">
        <v>208</v>
      </c>
      <c r="F12">
        <v>107</v>
      </c>
      <c r="G12" t="s">
        <v>193</v>
      </c>
      <c r="H12">
        <v>8</v>
      </c>
      <c r="I12">
        <v>0</v>
      </c>
      <c r="J12" t="s">
        <v>105</v>
      </c>
      <c r="K12" t="s">
        <v>105</v>
      </c>
      <c r="M12">
        <f t="shared" si="0"/>
        <v>8</v>
      </c>
      <c r="N12" s="2">
        <f t="shared" si="1"/>
        <v>1</v>
      </c>
      <c r="O12" s="2" t="b">
        <v>1</v>
      </c>
    </row>
    <row r="13" spans="1:23" x14ac:dyDescent="0.3">
      <c r="A13">
        <v>104</v>
      </c>
      <c r="B13" t="s">
        <v>407</v>
      </c>
      <c r="E13" t="s">
        <v>208</v>
      </c>
      <c r="F13">
        <v>108</v>
      </c>
      <c r="G13" t="s">
        <v>52</v>
      </c>
      <c r="H13">
        <v>4</v>
      </c>
      <c r="I13">
        <v>0</v>
      </c>
      <c r="J13" t="s">
        <v>52</v>
      </c>
      <c r="K13" t="s">
        <v>52</v>
      </c>
      <c r="M13">
        <f t="shared" si="0"/>
        <v>4</v>
      </c>
      <c r="N13" s="2">
        <f t="shared" si="1"/>
        <v>1</v>
      </c>
      <c r="O13" s="2" t="b">
        <v>1</v>
      </c>
    </row>
    <row r="14" spans="1:23" x14ac:dyDescent="0.3">
      <c r="A14">
        <v>105</v>
      </c>
      <c r="B14" t="s">
        <v>64</v>
      </c>
      <c r="E14" t="s">
        <v>208</v>
      </c>
      <c r="F14">
        <v>109</v>
      </c>
      <c r="G14" t="s">
        <v>140</v>
      </c>
      <c r="H14">
        <v>8</v>
      </c>
      <c r="I14">
        <v>0</v>
      </c>
      <c r="J14" s="17" t="s">
        <v>425</v>
      </c>
      <c r="K14" s="17" t="s">
        <v>425</v>
      </c>
      <c r="M14">
        <f t="shared" si="0"/>
        <v>8</v>
      </c>
      <c r="N14" s="2">
        <f t="shared" si="1"/>
        <v>1</v>
      </c>
      <c r="O14" s="2"/>
    </row>
    <row r="15" spans="1:23" x14ac:dyDescent="0.3">
      <c r="E15" t="s">
        <v>208</v>
      </c>
      <c r="F15">
        <v>110</v>
      </c>
      <c r="G15" t="s">
        <v>141</v>
      </c>
      <c r="H15">
        <v>10</v>
      </c>
      <c r="I15">
        <v>0</v>
      </c>
      <c r="J15" s="17" t="s">
        <v>425</v>
      </c>
      <c r="K15" s="17" t="s">
        <v>425</v>
      </c>
      <c r="M15">
        <f t="shared" si="0"/>
        <v>10</v>
      </c>
      <c r="N15" s="2">
        <f t="shared" si="1"/>
        <v>1</v>
      </c>
      <c r="O15" s="2"/>
    </row>
    <row r="16" spans="1:23" x14ac:dyDescent="0.3">
      <c r="E16" t="s">
        <v>208</v>
      </c>
      <c r="F16">
        <v>111</v>
      </c>
      <c r="G16" t="s">
        <v>142</v>
      </c>
      <c r="H16">
        <v>14</v>
      </c>
      <c r="I16">
        <v>0</v>
      </c>
      <c r="J16" s="17" t="s">
        <v>425</v>
      </c>
      <c r="K16" s="17" t="s">
        <v>425</v>
      </c>
      <c r="M16">
        <f t="shared" si="0"/>
        <v>14</v>
      </c>
      <c r="N16" s="2">
        <f t="shared" si="1"/>
        <v>1</v>
      </c>
      <c r="O16" s="2"/>
    </row>
    <row r="17" spans="1:15" x14ac:dyDescent="0.3">
      <c r="A17" t="s">
        <v>450</v>
      </c>
      <c r="E17" t="s">
        <v>208</v>
      </c>
      <c r="F17">
        <v>105</v>
      </c>
      <c r="G17" t="s">
        <v>64</v>
      </c>
      <c r="H17">
        <v>6</v>
      </c>
      <c r="I17">
        <v>0</v>
      </c>
      <c r="J17" t="s">
        <v>420</v>
      </c>
      <c r="K17" t="s">
        <v>420</v>
      </c>
      <c r="M17">
        <f t="shared" si="0"/>
        <v>6</v>
      </c>
      <c r="N17" s="2">
        <f t="shared" si="1"/>
        <v>1</v>
      </c>
      <c r="O17" s="2"/>
    </row>
    <row r="18" spans="1:15" x14ac:dyDescent="0.3">
      <c r="E18" t="s">
        <v>208</v>
      </c>
      <c r="F18">
        <v>112</v>
      </c>
      <c r="G18" t="s">
        <v>65</v>
      </c>
      <c r="H18">
        <v>5</v>
      </c>
      <c r="I18">
        <v>0</v>
      </c>
      <c r="J18" t="s">
        <v>420</v>
      </c>
      <c r="K18" t="s">
        <v>420</v>
      </c>
      <c r="M18">
        <f t="shared" si="0"/>
        <v>5</v>
      </c>
      <c r="N18" s="2">
        <f t="shared" si="1"/>
        <v>1</v>
      </c>
      <c r="O18" s="2"/>
    </row>
    <row r="19" spans="1:15" x14ac:dyDescent="0.3">
      <c r="E19" t="s">
        <v>208</v>
      </c>
      <c r="F19">
        <v>113</v>
      </c>
      <c r="G19" t="s">
        <v>158</v>
      </c>
      <c r="H19">
        <v>5</v>
      </c>
      <c r="I19">
        <v>0</v>
      </c>
      <c r="J19" t="s">
        <v>420</v>
      </c>
      <c r="K19" t="s">
        <v>420</v>
      </c>
      <c r="M19">
        <f t="shared" si="0"/>
        <v>5</v>
      </c>
      <c r="N19" s="2">
        <f t="shared" si="1"/>
        <v>1</v>
      </c>
      <c r="O19" s="2"/>
    </row>
    <row r="20" spans="1:15" x14ac:dyDescent="0.3">
      <c r="E20" t="s">
        <v>208</v>
      </c>
      <c r="F20">
        <v>114</v>
      </c>
      <c r="G20" t="s">
        <v>66</v>
      </c>
      <c r="H20">
        <v>5</v>
      </c>
      <c r="I20">
        <v>0</v>
      </c>
      <c r="J20" t="s">
        <v>420</v>
      </c>
      <c r="K20" t="s">
        <v>420</v>
      </c>
      <c r="M20">
        <f t="shared" si="0"/>
        <v>5</v>
      </c>
      <c r="N20" s="2">
        <f t="shared" si="1"/>
        <v>1</v>
      </c>
      <c r="O20" s="2"/>
    </row>
    <row r="21" spans="1:15" x14ac:dyDescent="0.3">
      <c r="E21" t="s">
        <v>208</v>
      </c>
      <c r="F21">
        <v>115</v>
      </c>
      <c r="G21" t="s">
        <v>67</v>
      </c>
      <c r="H21">
        <v>5</v>
      </c>
      <c r="I21">
        <v>0</v>
      </c>
      <c r="J21" t="s">
        <v>420</v>
      </c>
      <c r="K21" t="s">
        <v>420</v>
      </c>
      <c r="M21">
        <f t="shared" si="0"/>
        <v>5</v>
      </c>
      <c r="N21" s="2">
        <f t="shared" si="1"/>
        <v>1</v>
      </c>
      <c r="O21" s="2"/>
    </row>
    <row r="22" spans="1:15" x14ac:dyDescent="0.3">
      <c r="E22" t="s">
        <v>208</v>
      </c>
      <c r="F22">
        <v>116</v>
      </c>
      <c r="G22" t="s">
        <v>68</v>
      </c>
      <c r="H22">
        <v>5</v>
      </c>
      <c r="I22">
        <v>0</v>
      </c>
      <c r="J22" t="s">
        <v>420</v>
      </c>
      <c r="K22" t="s">
        <v>420</v>
      </c>
      <c r="M22">
        <f t="shared" si="0"/>
        <v>5</v>
      </c>
      <c r="N22" s="2">
        <f t="shared" si="1"/>
        <v>1</v>
      </c>
      <c r="O22" s="2"/>
    </row>
    <row r="23" spans="1:15" x14ac:dyDescent="0.3">
      <c r="E23" t="s">
        <v>208</v>
      </c>
      <c r="F23">
        <v>104</v>
      </c>
      <c r="G23" t="s">
        <v>69</v>
      </c>
      <c r="H23">
        <v>5</v>
      </c>
      <c r="I23">
        <v>0</v>
      </c>
      <c r="J23" t="s">
        <v>52</v>
      </c>
      <c r="K23" t="s">
        <v>52</v>
      </c>
      <c r="M23">
        <f t="shared" si="0"/>
        <v>5</v>
      </c>
      <c r="N23" s="2">
        <f t="shared" si="1"/>
        <v>1</v>
      </c>
      <c r="O23" s="2"/>
    </row>
    <row r="24" spans="1:15" x14ac:dyDescent="0.3">
      <c r="E24" t="s">
        <v>208</v>
      </c>
      <c r="F24">
        <v>117</v>
      </c>
      <c r="G24" t="s">
        <v>192</v>
      </c>
      <c r="H24">
        <v>4</v>
      </c>
      <c r="I24">
        <v>0</v>
      </c>
      <c r="J24" t="s">
        <v>52</v>
      </c>
      <c r="K24" t="s">
        <v>52</v>
      </c>
      <c r="M24">
        <f t="shared" si="0"/>
        <v>4</v>
      </c>
      <c r="N24" s="2">
        <f t="shared" si="1"/>
        <v>1</v>
      </c>
      <c r="O24" s="2" t="b">
        <v>1</v>
      </c>
    </row>
    <row r="25" spans="1:15" x14ac:dyDescent="0.3">
      <c r="E25" t="s">
        <v>208</v>
      </c>
      <c r="F25">
        <v>10</v>
      </c>
      <c r="G25" t="s">
        <v>127</v>
      </c>
      <c r="H25">
        <v>2</v>
      </c>
      <c r="I25">
        <v>0</v>
      </c>
      <c r="J25" t="s">
        <v>105</v>
      </c>
      <c r="K25" t="s">
        <v>105</v>
      </c>
      <c r="M25">
        <f t="shared" si="0"/>
        <v>2</v>
      </c>
      <c r="N25" s="2">
        <f t="shared" si="1"/>
        <v>1</v>
      </c>
      <c r="O25" s="2" t="b">
        <v>1</v>
      </c>
    </row>
    <row r="26" spans="1:15" x14ac:dyDescent="0.3">
      <c r="E26" t="s">
        <v>208</v>
      </c>
      <c r="F26">
        <v>11</v>
      </c>
      <c r="G26" t="s">
        <v>130</v>
      </c>
      <c r="H26">
        <v>2</v>
      </c>
      <c r="I26">
        <v>0</v>
      </c>
      <c r="J26" t="s">
        <v>105</v>
      </c>
      <c r="K26" t="s">
        <v>105</v>
      </c>
      <c r="M26">
        <f t="shared" si="0"/>
        <v>2</v>
      </c>
      <c r="N26" s="2">
        <f t="shared" si="1"/>
        <v>1</v>
      </c>
      <c r="O26" s="2" t="b">
        <v>1</v>
      </c>
    </row>
    <row r="27" spans="1:15" x14ac:dyDescent="0.3">
      <c r="E27" t="s">
        <v>208</v>
      </c>
      <c r="F27">
        <v>118</v>
      </c>
      <c r="G27" t="s">
        <v>260</v>
      </c>
      <c r="H27">
        <v>8</v>
      </c>
      <c r="I27">
        <v>0</v>
      </c>
      <c r="J27" t="s">
        <v>259</v>
      </c>
      <c r="K27" t="s">
        <v>259</v>
      </c>
      <c r="M27">
        <f t="shared" si="0"/>
        <v>8</v>
      </c>
      <c r="N27" s="2">
        <f t="shared" si="1"/>
        <v>1</v>
      </c>
      <c r="O27" s="2"/>
    </row>
    <row r="28" spans="1:15" x14ac:dyDescent="0.3">
      <c r="E28" t="s">
        <v>208</v>
      </c>
      <c r="F28">
        <v>119</v>
      </c>
      <c r="G28" t="s">
        <v>261</v>
      </c>
      <c r="H28">
        <v>8</v>
      </c>
      <c r="I28">
        <v>0</v>
      </c>
      <c r="J28" t="s">
        <v>259</v>
      </c>
      <c r="K28" t="s">
        <v>259</v>
      </c>
      <c r="M28">
        <f t="shared" si="0"/>
        <v>8</v>
      </c>
      <c r="N28" s="2">
        <f t="shared" si="1"/>
        <v>1</v>
      </c>
      <c r="O28" s="2"/>
    </row>
    <row r="29" spans="1:15" x14ac:dyDescent="0.3">
      <c r="E29" t="s">
        <v>208</v>
      </c>
      <c r="F29">
        <v>120</v>
      </c>
      <c r="G29" t="s">
        <v>262</v>
      </c>
      <c r="H29">
        <v>5</v>
      </c>
      <c r="I29">
        <v>0</v>
      </c>
      <c r="J29" t="s">
        <v>420</v>
      </c>
      <c r="K29" t="s">
        <v>420</v>
      </c>
      <c r="M29">
        <f t="shared" si="0"/>
        <v>5</v>
      </c>
      <c r="N29" s="2">
        <f t="shared" si="1"/>
        <v>1</v>
      </c>
      <c r="O29" s="2"/>
    </row>
    <row r="30" spans="1:15" x14ac:dyDescent="0.3">
      <c r="E30" t="s">
        <v>208</v>
      </c>
      <c r="F30">
        <v>121</v>
      </c>
      <c r="G30" t="s">
        <v>263</v>
      </c>
      <c r="H30">
        <v>5</v>
      </c>
      <c r="I30">
        <v>0</v>
      </c>
      <c r="J30" t="s">
        <v>420</v>
      </c>
      <c r="K30" t="s">
        <v>420</v>
      </c>
      <c r="M30">
        <f t="shared" si="0"/>
        <v>5</v>
      </c>
      <c r="N30" s="2">
        <f t="shared" si="1"/>
        <v>1</v>
      </c>
      <c r="O30" s="2"/>
    </row>
    <row r="31" spans="1:15" x14ac:dyDescent="0.3">
      <c r="E31" t="s">
        <v>208</v>
      </c>
      <c r="F31">
        <v>122</v>
      </c>
      <c r="G31" t="s">
        <v>264</v>
      </c>
      <c r="H31">
        <v>5</v>
      </c>
      <c r="I31">
        <v>0</v>
      </c>
      <c r="J31" t="s">
        <v>420</v>
      </c>
      <c r="K31" t="s">
        <v>420</v>
      </c>
      <c r="M31">
        <f t="shared" si="0"/>
        <v>5</v>
      </c>
      <c r="N31" s="2">
        <f t="shared" si="1"/>
        <v>1</v>
      </c>
      <c r="O31" s="2"/>
    </row>
    <row r="32" spans="1:15" x14ac:dyDescent="0.3">
      <c r="E32" t="s">
        <v>208</v>
      </c>
      <c r="F32">
        <v>123</v>
      </c>
      <c r="G32" t="s">
        <v>265</v>
      </c>
      <c r="H32">
        <v>5</v>
      </c>
      <c r="I32">
        <v>0</v>
      </c>
      <c r="J32" t="s">
        <v>420</v>
      </c>
      <c r="K32" t="s">
        <v>420</v>
      </c>
      <c r="M32">
        <f t="shared" si="0"/>
        <v>5</v>
      </c>
      <c r="N32" s="2">
        <f t="shared" si="1"/>
        <v>1</v>
      </c>
      <c r="O32" s="2"/>
    </row>
    <row r="33" spans="4:15" x14ac:dyDescent="0.3">
      <c r="E33" t="s">
        <v>208</v>
      </c>
      <c r="F33">
        <v>124</v>
      </c>
      <c r="G33" t="s">
        <v>266</v>
      </c>
      <c r="H33">
        <v>15</v>
      </c>
      <c r="I33">
        <v>0</v>
      </c>
      <c r="J33" t="s">
        <v>143</v>
      </c>
      <c r="K33" t="s">
        <v>143</v>
      </c>
      <c r="M33">
        <f t="shared" si="0"/>
        <v>15</v>
      </c>
      <c r="N33" s="2">
        <f t="shared" si="1"/>
        <v>1</v>
      </c>
      <c r="O33" s="2"/>
    </row>
    <row r="34" spans="4:15" x14ac:dyDescent="0.3">
      <c r="E34" t="s">
        <v>208</v>
      </c>
      <c r="F34">
        <v>106</v>
      </c>
      <c r="G34" t="s">
        <v>418</v>
      </c>
      <c r="H34">
        <v>15</v>
      </c>
      <c r="I34">
        <v>0</v>
      </c>
      <c r="J34" t="s">
        <v>143</v>
      </c>
      <c r="K34" t="s">
        <v>143</v>
      </c>
      <c r="M34">
        <f t="shared" si="0"/>
        <v>15</v>
      </c>
      <c r="N34" s="2">
        <f t="shared" si="1"/>
        <v>1</v>
      </c>
      <c r="O34" s="2"/>
    </row>
    <row r="35" spans="4:15" x14ac:dyDescent="0.3">
      <c r="E35" t="s">
        <v>208</v>
      </c>
      <c r="F35">
        <v>126</v>
      </c>
      <c r="G35" t="s">
        <v>268</v>
      </c>
      <c r="H35">
        <v>16</v>
      </c>
      <c r="I35">
        <v>0</v>
      </c>
      <c r="J35" s="17" t="s">
        <v>425</v>
      </c>
      <c r="K35" s="17" t="s">
        <v>425</v>
      </c>
      <c r="M35">
        <f t="shared" si="0"/>
        <v>16</v>
      </c>
      <c r="N35" s="2">
        <f t="shared" si="1"/>
        <v>1</v>
      </c>
      <c r="O35" s="2"/>
    </row>
    <row r="36" spans="4:15" x14ac:dyDescent="0.3">
      <c r="E36" t="s">
        <v>208</v>
      </c>
      <c r="F36">
        <v>127</v>
      </c>
      <c r="G36" t="s">
        <v>267</v>
      </c>
      <c r="H36">
        <v>16</v>
      </c>
      <c r="I36">
        <v>0</v>
      </c>
      <c r="J36" s="17" t="s">
        <v>425</v>
      </c>
      <c r="K36" s="17" t="s">
        <v>425</v>
      </c>
      <c r="M36">
        <f t="shared" si="0"/>
        <v>16</v>
      </c>
      <c r="N36" s="2">
        <f t="shared" si="1"/>
        <v>1</v>
      </c>
      <c r="O36" s="2"/>
    </row>
    <row r="37" spans="4:15" x14ac:dyDescent="0.3">
      <c r="E37" t="s">
        <v>208</v>
      </c>
      <c r="F37">
        <v>128</v>
      </c>
      <c r="G37" t="s">
        <v>270</v>
      </c>
      <c r="H37">
        <v>24</v>
      </c>
      <c r="I37">
        <v>0</v>
      </c>
      <c r="J37" s="17" t="s">
        <v>425</v>
      </c>
      <c r="K37" s="17" t="s">
        <v>425</v>
      </c>
      <c r="M37">
        <f t="shared" si="0"/>
        <v>24</v>
      </c>
      <c r="N37" s="2">
        <f t="shared" si="1"/>
        <v>1</v>
      </c>
      <c r="O37" s="2"/>
    </row>
    <row r="38" spans="4:15" x14ac:dyDescent="0.3">
      <c r="E38" t="s">
        <v>208</v>
      </c>
      <c r="F38">
        <v>129</v>
      </c>
      <c r="G38" t="s">
        <v>271</v>
      </c>
      <c r="H38">
        <v>20</v>
      </c>
      <c r="I38">
        <v>0</v>
      </c>
      <c r="J38" s="17" t="s">
        <v>425</v>
      </c>
      <c r="K38" s="17" t="s">
        <v>425</v>
      </c>
      <c r="M38">
        <f t="shared" si="0"/>
        <v>20</v>
      </c>
      <c r="N38" s="2">
        <f t="shared" si="1"/>
        <v>1</v>
      </c>
      <c r="O38" s="2"/>
    </row>
    <row r="39" spans="4:15" x14ac:dyDescent="0.3">
      <c r="E39" t="s">
        <v>208</v>
      </c>
      <c r="F39">
        <v>130</v>
      </c>
      <c r="G39" t="s">
        <v>272</v>
      </c>
      <c r="H39">
        <v>15</v>
      </c>
      <c r="I39">
        <v>0</v>
      </c>
      <c r="J39" s="17" t="s">
        <v>425</v>
      </c>
      <c r="K39" s="17" t="s">
        <v>425</v>
      </c>
      <c r="M39">
        <f t="shared" si="0"/>
        <v>15</v>
      </c>
      <c r="N39" s="2">
        <f t="shared" si="1"/>
        <v>1</v>
      </c>
      <c r="O39" s="2"/>
    </row>
    <row r="40" spans="4:15" x14ac:dyDescent="0.3">
      <c r="F40">
        <v>131</v>
      </c>
      <c r="G40" t="s">
        <v>360</v>
      </c>
      <c r="H40">
        <v>5</v>
      </c>
      <c r="I40">
        <v>0</v>
      </c>
      <c r="J40" t="s">
        <v>105</v>
      </c>
      <c r="K40" t="s">
        <v>105</v>
      </c>
      <c r="M40">
        <v>4</v>
      </c>
      <c r="N40" s="2">
        <f t="shared" si="1"/>
        <v>1</v>
      </c>
      <c r="O40" t="b">
        <v>1</v>
      </c>
    </row>
    <row r="41" spans="4:15" x14ac:dyDescent="0.3">
      <c r="F41">
        <v>132</v>
      </c>
      <c r="G41" t="s">
        <v>422</v>
      </c>
      <c r="H41">
        <v>8</v>
      </c>
      <c r="I41">
        <v>0</v>
      </c>
      <c r="J41" t="s">
        <v>259</v>
      </c>
      <c r="K41" t="s">
        <v>423</v>
      </c>
      <c r="N41" s="2">
        <f t="shared" si="1"/>
        <v>1</v>
      </c>
    </row>
    <row r="42" spans="4:15" x14ac:dyDescent="0.3">
      <c r="E42" t="s">
        <v>444</v>
      </c>
      <c r="F42">
        <v>133</v>
      </c>
      <c r="G42" t="s">
        <v>445</v>
      </c>
      <c r="H42">
        <v>10</v>
      </c>
      <c r="I42">
        <v>0</v>
      </c>
      <c r="J42" t="s">
        <v>425</v>
      </c>
      <c r="K42" t="s">
        <v>425</v>
      </c>
      <c r="M42">
        <v>10</v>
      </c>
      <c r="N42" s="2">
        <f t="shared" si="1"/>
        <v>1</v>
      </c>
    </row>
    <row r="44" spans="4:15" x14ac:dyDescent="0.3">
      <c r="D44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1766A-FE16-41C9-86DA-520BF45FB1F0}">
  <sheetPr codeName="Sheet9"/>
  <dimension ref="A1:K54"/>
  <sheetViews>
    <sheetView topLeftCell="A28" workbookViewId="0">
      <selection activeCell="B33" sqref="B33"/>
    </sheetView>
  </sheetViews>
  <sheetFormatPr defaultRowHeight="14.4" x14ac:dyDescent="0.3"/>
  <cols>
    <col min="1" max="1" width="12.33203125" bestFit="1" customWidth="1"/>
    <col min="2" max="2" width="13.88671875" bestFit="1" customWidth="1"/>
    <col min="5" max="5" width="17.77734375" bestFit="1" customWidth="1"/>
    <col min="9" max="9" width="12.88671875" bestFit="1" customWidth="1"/>
  </cols>
  <sheetData>
    <row r="1" spans="1:10" x14ac:dyDescent="0.3">
      <c r="A1" s="19" t="s">
        <v>401</v>
      </c>
      <c r="B1" s="19" t="s">
        <v>129</v>
      </c>
      <c r="C1" s="19" t="s">
        <v>122</v>
      </c>
      <c r="D1" s="19" t="s">
        <v>123</v>
      </c>
      <c r="E1" s="19" t="s">
        <v>536</v>
      </c>
      <c r="F1" s="19" t="s">
        <v>397</v>
      </c>
      <c r="G1" s="19" t="s">
        <v>367</v>
      </c>
      <c r="H1" s="19" t="s">
        <v>402</v>
      </c>
      <c r="I1" s="19" t="s">
        <v>400</v>
      </c>
      <c r="J1" s="19" t="s">
        <v>403</v>
      </c>
    </row>
    <row r="2" spans="1:10" x14ac:dyDescent="0.3">
      <c r="A2">
        <v>1</v>
      </c>
      <c r="B2" t="s">
        <v>124</v>
      </c>
      <c r="C2">
        <v>1</v>
      </c>
      <c r="D2" t="s">
        <v>195</v>
      </c>
      <c r="E2">
        <v>200</v>
      </c>
      <c r="F2">
        <v>40</v>
      </c>
      <c r="H2" t="s">
        <v>405</v>
      </c>
    </row>
    <row r="3" spans="1:10" x14ac:dyDescent="0.3">
      <c r="A3">
        <v>2</v>
      </c>
      <c r="B3" t="s">
        <v>362</v>
      </c>
      <c r="C3">
        <v>1</v>
      </c>
      <c r="D3" t="s">
        <v>195</v>
      </c>
      <c r="E3">
        <v>10</v>
      </c>
      <c r="F3">
        <v>5</v>
      </c>
      <c r="H3" t="s">
        <v>498</v>
      </c>
    </row>
    <row r="4" spans="1:10" x14ac:dyDescent="0.3">
      <c r="A4">
        <v>3</v>
      </c>
      <c r="B4" t="s">
        <v>363</v>
      </c>
      <c r="C4">
        <v>1</v>
      </c>
      <c r="D4" t="s">
        <v>195</v>
      </c>
      <c r="E4">
        <v>5</v>
      </c>
      <c r="F4">
        <v>5</v>
      </c>
      <c r="H4" t="s">
        <v>498</v>
      </c>
    </row>
    <row r="5" spans="1:10" x14ac:dyDescent="0.3">
      <c r="A5">
        <v>4</v>
      </c>
      <c r="B5" t="s">
        <v>364</v>
      </c>
      <c r="C5">
        <v>1</v>
      </c>
      <c r="D5" t="s">
        <v>195</v>
      </c>
      <c r="E5">
        <v>5</v>
      </c>
      <c r="F5">
        <v>20</v>
      </c>
      <c r="H5" t="s">
        <v>405</v>
      </c>
    </row>
    <row r="6" spans="1:10" x14ac:dyDescent="0.3">
      <c r="A6">
        <v>5</v>
      </c>
      <c r="B6" t="s">
        <v>51</v>
      </c>
      <c r="C6">
        <v>1</v>
      </c>
      <c r="D6" t="s">
        <v>195</v>
      </c>
      <c r="E6">
        <v>50</v>
      </c>
      <c r="F6">
        <v>5</v>
      </c>
      <c r="H6" t="s">
        <v>404</v>
      </c>
    </row>
    <row r="7" spans="1:10" x14ac:dyDescent="0.3">
      <c r="A7">
        <v>6</v>
      </c>
      <c r="B7" t="s">
        <v>65</v>
      </c>
      <c r="C7">
        <v>1</v>
      </c>
      <c r="D7" t="s">
        <v>195</v>
      </c>
      <c r="E7">
        <v>50</v>
      </c>
      <c r="F7">
        <v>50</v>
      </c>
      <c r="H7" t="s">
        <v>498</v>
      </c>
    </row>
    <row r="8" spans="1:10" x14ac:dyDescent="0.3">
      <c r="A8">
        <v>7</v>
      </c>
      <c r="B8" t="s">
        <v>370</v>
      </c>
      <c r="C8">
        <v>1</v>
      </c>
      <c r="D8" t="s">
        <v>195</v>
      </c>
      <c r="E8">
        <v>75</v>
      </c>
      <c r="F8">
        <v>5</v>
      </c>
      <c r="H8" t="s">
        <v>404</v>
      </c>
    </row>
    <row r="9" spans="1:10" x14ac:dyDescent="0.3">
      <c r="A9">
        <v>8</v>
      </c>
      <c r="B9" t="s">
        <v>262</v>
      </c>
      <c r="C9">
        <v>1</v>
      </c>
      <c r="D9" t="s">
        <v>195</v>
      </c>
      <c r="E9">
        <v>5</v>
      </c>
      <c r="F9">
        <v>5</v>
      </c>
      <c r="H9" t="s">
        <v>405</v>
      </c>
    </row>
    <row r="10" spans="1:10" x14ac:dyDescent="0.3">
      <c r="A10">
        <v>9</v>
      </c>
      <c r="B10" t="s">
        <v>194</v>
      </c>
      <c r="C10">
        <v>1</v>
      </c>
      <c r="D10" t="s">
        <v>195</v>
      </c>
      <c r="E10">
        <v>4</v>
      </c>
      <c r="F10">
        <v>1</v>
      </c>
      <c r="H10" t="s">
        <v>498</v>
      </c>
    </row>
    <row r="11" spans="1:10" x14ac:dyDescent="0.3">
      <c r="A11">
        <v>10</v>
      </c>
      <c r="B11" t="s">
        <v>127</v>
      </c>
      <c r="C11">
        <v>1</v>
      </c>
      <c r="D11" t="s">
        <v>372</v>
      </c>
      <c r="E11">
        <v>12</v>
      </c>
      <c r="F11">
        <v>24</v>
      </c>
      <c r="H11" t="s">
        <v>405</v>
      </c>
      <c r="I11" t="s">
        <v>398</v>
      </c>
    </row>
    <row r="12" spans="1:10" x14ac:dyDescent="0.3">
      <c r="A12">
        <v>11</v>
      </c>
      <c r="B12" t="s">
        <v>130</v>
      </c>
      <c r="C12">
        <v>1</v>
      </c>
      <c r="D12" t="s">
        <v>372</v>
      </c>
      <c r="E12">
        <v>6</v>
      </c>
      <c r="F12">
        <v>24</v>
      </c>
      <c r="H12" t="s">
        <v>405</v>
      </c>
      <c r="I12" t="s">
        <v>398</v>
      </c>
    </row>
    <row r="13" spans="1:10" x14ac:dyDescent="0.3">
      <c r="A13">
        <v>12</v>
      </c>
      <c r="B13" t="s">
        <v>375</v>
      </c>
      <c r="C13">
        <v>1</v>
      </c>
      <c r="D13" t="s">
        <v>195</v>
      </c>
      <c r="E13">
        <v>5</v>
      </c>
      <c r="F13">
        <v>5</v>
      </c>
      <c r="H13" t="s">
        <v>395</v>
      </c>
    </row>
    <row r="14" spans="1:10" x14ac:dyDescent="0.3">
      <c r="A14">
        <v>13</v>
      </c>
      <c r="B14" t="s">
        <v>360</v>
      </c>
      <c r="C14">
        <v>1</v>
      </c>
      <c r="D14" t="s">
        <v>372</v>
      </c>
      <c r="E14">
        <v>36</v>
      </c>
      <c r="F14">
        <v>24</v>
      </c>
      <c r="H14" t="s">
        <v>405</v>
      </c>
      <c r="I14" t="s">
        <v>408</v>
      </c>
      <c r="J14" t="s">
        <v>368</v>
      </c>
    </row>
    <row r="15" spans="1:10" x14ac:dyDescent="0.3">
      <c r="A15">
        <v>14</v>
      </c>
      <c r="B15" t="s">
        <v>126</v>
      </c>
      <c r="C15">
        <v>1</v>
      </c>
      <c r="D15" t="s">
        <v>195</v>
      </c>
      <c r="E15">
        <v>5</v>
      </c>
      <c r="F15">
        <v>5</v>
      </c>
      <c r="H15" t="s">
        <v>405</v>
      </c>
    </row>
    <row r="16" spans="1:10" x14ac:dyDescent="0.3">
      <c r="A16">
        <v>15</v>
      </c>
      <c r="B16" t="s">
        <v>361</v>
      </c>
      <c r="C16">
        <v>1</v>
      </c>
      <c r="D16" t="s">
        <v>195</v>
      </c>
      <c r="E16">
        <v>10</v>
      </c>
      <c r="F16">
        <v>20</v>
      </c>
      <c r="H16" t="s">
        <v>395</v>
      </c>
      <c r="I16" t="s">
        <v>399</v>
      </c>
    </row>
    <row r="17" spans="1:10" x14ac:dyDescent="0.3">
      <c r="A17">
        <v>16</v>
      </c>
      <c r="B17" t="s">
        <v>373</v>
      </c>
      <c r="C17">
        <v>1</v>
      </c>
      <c r="D17" t="s">
        <v>374</v>
      </c>
      <c r="E17">
        <v>10</v>
      </c>
      <c r="F17">
        <v>100</v>
      </c>
      <c r="H17" t="s">
        <v>406</v>
      </c>
    </row>
    <row r="18" spans="1:10" x14ac:dyDescent="0.3">
      <c r="A18">
        <v>17</v>
      </c>
      <c r="B18" t="s">
        <v>365</v>
      </c>
      <c r="C18">
        <v>1</v>
      </c>
      <c r="D18" t="s">
        <v>125</v>
      </c>
      <c r="E18">
        <v>10</v>
      </c>
      <c r="F18">
        <v>100</v>
      </c>
      <c r="H18" t="s">
        <v>406</v>
      </c>
    </row>
    <row r="19" spans="1:10" x14ac:dyDescent="0.3">
      <c r="A19">
        <v>18</v>
      </c>
      <c r="B19" t="s">
        <v>366</v>
      </c>
      <c r="C19">
        <v>1</v>
      </c>
      <c r="D19" t="s">
        <v>125</v>
      </c>
      <c r="E19">
        <v>10</v>
      </c>
      <c r="F19">
        <v>1</v>
      </c>
      <c r="G19" t="s">
        <v>447</v>
      </c>
      <c r="H19" t="s">
        <v>406</v>
      </c>
    </row>
    <row r="20" spans="1:10" x14ac:dyDescent="0.3">
      <c r="A20">
        <v>19</v>
      </c>
      <c r="B20" t="s">
        <v>369</v>
      </c>
      <c r="C20">
        <v>1</v>
      </c>
      <c r="D20" t="s">
        <v>125</v>
      </c>
      <c r="E20">
        <v>10</v>
      </c>
      <c r="F20">
        <v>1</v>
      </c>
      <c r="G20" t="s">
        <v>447</v>
      </c>
      <c r="H20" t="s">
        <v>406</v>
      </c>
    </row>
    <row r="21" spans="1:10" x14ac:dyDescent="0.3">
      <c r="A21">
        <v>20</v>
      </c>
      <c r="B21" t="s">
        <v>187</v>
      </c>
      <c r="C21">
        <v>1</v>
      </c>
      <c r="D21" t="s">
        <v>125</v>
      </c>
      <c r="E21">
        <v>10</v>
      </c>
      <c r="F21">
        <v>10</v>
      </c>
      <c r="H21" t="s">
        <v>395</v>
      </c>
    </row>
    <row r="22" spans="1:10" x14ac:dyDescent="0.3">
      <c r="A22">
        <v>21</v>
      </c>
      <c r="B22" t="s">
        <v>188</v>
      </c>
      <c r="C22">
        <v>1</v>
      </c>
      <c r="D22" t="s">
        <v>125</v>
      </c>
      <c r="E22">
        <v>30</v>
      </c>
      <c r="F22">
        <v>10</v>
      </c>
      <c r="H22" t="s">
        <v>405</v>
      </c>
    </row>
    <row r="23" spans="1:10" x14ac:dyDescent="0.3">
      <c r="A23">
        <v>22</v>
      </c>
      <c r="B23" t="s">
        <v>189</v>
      </c>
      <c r="C23">
        <v>1</v>
      </c>
      <c r="D23" t="s">
        <v>195</v>
      </c>
      <c r="E23">
        <v>15</v>
      </c>
      <c r="F23">
        <v>5</v>
      </c>
      <c r="H23" t="s">
        <v>395</v>
      </c>
    </row>
    <row r="24" spans="1:10" x14ac:dyDescent="0.3">
      <c r="A24">
        <v>23</v>
      </c>
      <c r="B24" t="s">
        <v>167</v>
      </c>
      <c r="C24">
        <v>1</v>
      </c>
      <c r="D24" t="s">
        <v>125</v>
      </c>
      <c r="E24">
        <v>10</v>
      </c>
      <c r="F24">
        <v>100</v>
      </c>
      <c r="G24" t="s">
        <v>448</v>
      </c>
      <c r="H24" t="s">
        <v>406</v>
      </c>
    </row>
    <row r="25" spans="1:10" x14ac:dyDescent="0.3">
      <c r="A25">
        <v>24</v>
      </c>
      <c r="B25" t="s">
        <v>186</v>
      </c>
      <c r="C25">
        <v>1</v>
      </c>
      <c r="D25" t="s">
        <v>195</v>
      </c>
      <c r="E25">
        <v>50</v>
      </c>
      <c r="F25">
        <v>5</v>
      </c>
      <c r="H25" t="s">
        <v>395</v>
      </c>
    </row>
    <row r="26" spans="1:10" x14ac:dyDescent="0.3">
      <c r="A26">
        <v>25</v>
      </c>
      <c r="B26" t="s">
        <v>412</v>
      </c>
      <c r="C26">
        <v>1</v>
      </c>
      <c r="D26" t="s">
        <v>195</v>
      </c>
      <c r="E26">
        <v>75</v>
      </c>
      <c r="F26">
        <v>5</v>
      </c>
      <c r="H26" t="s">
        <v>395</v>
      </c>
    </row>
    <row r="27" spans="1:10" x14ac:dyDescent="0.3">
      <c r="A27">
        <v>26</v>
      </c>
      <c r="B27" t="s">
        <v>413</v>
      </c>
      <c r="C27">
        <v>1</v>
      </c>
      <c r="D27" t="s">
        <v>195</v>
      </c>
      <c r="E27">
        <v>5</v>
      </c>
      <c r="F27">
        <v>5</v>
      </c>
      <c r="H27" t="s">
        <v>395</v>
      </c>
    </row>
    <row r="28" spans="1:10" x14ac:dyDescent="0.3">
      <c r="A28">
        <v>27</v>
      </c>
      <c r="B28" t="s">
        <v>414</v>
      </c>
      <c r="C28">
        <v>1</v>
      </c>
      <c r="D28" t="s">
        <v>195</v>
      </c>
      <c r="E28">
        <v>5</v>
      </c>
      <c r="F28">
        <v>5</v>
      </c>
      <c r="H28" t="s">
        <v>395</v>
      </c>
    </row>
    <row r="29" spans="1:10" x14ac:dyDescent="0.3">
      <c r="A29">
        <v>28</v>
      </c>
      <c r="B29" t="s">
        <v>415</v>
      </c>
      <c r="C29">
        <v>1</v>
      </c>
      <c r="D29" t="s">
        <v>416</v>
      </c>
      <c r="E29">
        <v>5</v>
      </c>
      <c r="F29">
        <v>5</v>
      </c>
      <c r="H29" t="s">
        <v>395</v>
      </c>
    </row>
    <row r="30" spans="1:10" x14ac:dyDescent="0.3">
      <c r="A30">
        <v>29</v>
      </c>
      <c r="B30" t="s">
        <v>417</v>
      </c>
      <c r="C30">
        <v>1</v>
      </c>
      <c r="D30" t="s">
        <v>195</v>
      </c>
      <c r="E30">
        <v>75</v>
      </c>
      <c r="F30">
        <v>10</v>
      </c>
      <c r="H30" t="s">
        <v>395</v>
      </c>
    </row>
    <row r="31" spans="1:10" x14ac:dyDescent="0.3">
      <c r="A31">
        <v>107</v>
      </c>
      <c r="B31" t="s">
        <v>426</v>
      </c>
      <c r="C31">
        <v>1</v>
      </c>
      <c r="D31" t="s">
        <v>372</v>
      </c>
      <c r="E31">
        <v>10</v>
      </c>
      <c r="F31">
        <v>1</v>
      </c>
      <c r="H31" t="s">
        <v>105</v>
      </c>
      <c r="I31" t="s">
        <v>408</v>
      </c>
      <c r="J31" t="s">
        <v>368</v>
      </c>
    </row>
    <row r="32" spans="1:10" x14ac:dyDescent="0.3">
      <c r="A32">
        <v>30</v>
      </c>
      <c r="B32" t="s">
        <v>446</v>
      </c>
      <c r="C32">
        <v>1</v>
      </c>
      <c r="D32" t="s">
        <v>195</v>
      </c>
      <c r="E32">
        <v>5</v>
      </c>
      <c r="F32">
        <v>5</v>
      </c>
      <c r="H32" t="s">
        <v>498</v>
      </c>
    </row>
    <row r="33" spans="1:11" x14ac:dyDescent="0.3">
      <c r="A33">
        <v>108</v>
      </c>
      <c r="B33" t="s">
        <v>52</v>
      </c>
      <c r="C33">
        <v>1</v>
      </c>
      <c r="D33" t="s">
        <v>125</v>
      </c>
      <c r="E33">
        <v>15</v>
      </c>
      <c r="F33">
        <v>5</v>
      </c>
      <c r="H33" t="s">
        <v>405</v>
      </c>
    </row>
    <row r="34" spans="1:11" x14ac:dyDescent="0.3">
      <c r="A34">
        <v>117</v>
      </c>
      <c r="B34" t="s">
        <v>192</v>
      </c>
      <c r="C34">
        <v>1</v>
      </c>
      <c r="D34" t="s">
        <v>125</v>
      </c>
      <c r="E34">
        <v>15</v>
      </c>
      <c r="F34">
        <v>5</v>
      </c>
      <c r="H34" t="s">
        <v>405</v>
      </c>
    </row>
    <row r="35" spans="1:11" x14ac:dyDescent="0.3">
      <c r="A35">
        <v>31</v>
      </c>
      <c r="B35" t="s">
        <v>528</v>
      </c>
      <c r="C35">
        <v>1</v>
      </c>
      <c r="D35" t="s">
        <v>195</v>
      </c>
      <c r="E35">
        <v>25</v>
      </c>
      <c r="F35">
        <v>10</v>
      </c>
      <c r="G35" t="s">
        <v>448</v>
      </c>
      <c r="H35" t="s">
        <v>405</v>
      </c>
    </row>
    <row r="36" spans="1:11" x14ac:dyDescent="0.3">
      <c r="A36">
        <v>32</v>
      </c>
      <c r="B36" t="s">
        <v>535</v>
      </c>
      <c r="C36">
        <v>1</v>
      </c>
      <c r="D36" t="s">
        <v>195</v>
      </c>
      <c r="E36">
        <v>5</v>
      </c>
      <c r="F36">
        <v>5</v>
      </c>
      <c r="H36" t="s">
        <v>395</v>
      </c>
    </row>
    <row r="37" spans="1:11" x14ac:dyDescent="0.3">
      <c r="A37">
        <v>33</v>
      </c>
      <c r="B37" t="s">
        <v>68</v>
      </c>
      <c r="C37">
        <v>1</v>
      </c>
      <c r="D37" t="s">
        <v>195</v>
      </c>
      <c r="E37">
        <v>5</v>
      </c>
      <c r="F37">
        <v>5</v>
      </c>
      <c r="H37" t="s">
        <v>405</v>
      </c>
    </row>
    <row r="38" spans="1:11" x14ac:dyDescent="0.3">
      <c r="A38">
        <v>34</v>
      </c>
      <c r="B38" t="s">
        <v>533</v>
      </c>
      <c r="C38">
        <v>1</v>
      </c>
      <c r="D38" t="s">
        <v>195</v>
      </c>
      <c r="E38">
        <v>5</v>
      </c>
      <c r="F38">
        <v>5</v>
      </c>
      <c r="H38" t="s">
        <v>498</v>
      </c>
    </row>
    <row r="39" spans="1:11" x14ac:dyDescent="0.3">
      <c r="A39">
        <v>35</v>
      </c>
      <c r="B39" t="s">
        <v>534</v>
      </c>
      <c r="C39">
        <v>1</v>
      </c>
      <c r="D39" t="s">
        <v>195</v>
      </c>
      <c r="E39">
        <v>15</v>
      </c>
      <c r="F39">
        <v>5</v>
      </c>
      <c r="G39" t="s">
        <v>448</v>
      </c>
      <c r="H39" t="s">
        <v>405</v>
      </c>
    </row>
    <row r="40" spans="1:11" x14ac:dyDescent="0.3">
      <c r="A40">
        <v>114</v>
      </c>
      <c r="B40" t="s">
        <v>66</v>
      </c>
      <c r="C40">
        <v>1</v>
      </c>
      <c r="D40" t="s">
        <v>195</v>
      </c>
      <c r="E40">
        <v>5</v>
      </c>
      <c r="F40">
        <v>5</v>
      </c>
      <c r="H40" t="s">
        <v>405</v>
      </c>
    </row>
    <row r="41" spans="1:11" x14ac:dyDescent="0.3">
      <c r="A41">
        <v>115</v>
      </c>
      <c r="B41" t="s">
        <v>67</v>
      </c>
      <c r="C41">
        <v>1</v>
      </c>
      <c r="D41" t="s">
        <v>195</v>
      </c>
      <c r="E41">
        <v>5</v>
      </c>
      <c r="F41">
        <v>5</v>
      </c>
      <c r="H41" t="s">
        <v>498</v>
      </c>
    </row>
    <row r="42" spans="1:11" x14ac:dyDescent="0.3">
      <c r="A42">
        <v>118</v>
      </c>
      <c r="B42" t="s">
        <v>417</v>
      </c>
      <c r="C42">
        <v>1</v>
      </c>
      <c r="D42" t="s">
        <v>195</v>
      </c>
      <c r="E42">
        <v>20</v>
      </c>
      <c r="F42">
        <v>5</v>
      </c>
      <c r="H42" t="s">
        <v>405</v>
      </c>
    </row>
    <row r="43" spans="1:11" x14ac:dyDescent="0.3">
      <c r="A43">
        <v>119</v>
      </c>
      <c r="B43" t="s">
        <v>261</v>
      </c>
      <c r="C43">
        <v>1</v>
      </c>
      <c r="D43" t="s">
        <v>195</v>
      </c>
      <c r="E43">
        <v>20</v>
      </c>
      <c r="F43">
        <v>5</v>
      </c>
      <c r="K43" t="s">
        <v>543</v>
      </c>
    </row>
    <row r="44" spans="1:11" x14ac:dyDescent="0.3">
      <c r="A44">
        <v>120</v>
      </c>
      <c r="B44" t="s">
        <v>262</v>
      </c>
      <c r="C44">
        <v>1</v>
      </c>
      <c r="D44" t="s">
        <v>195</v>
      </c>
      <c r="E44">
        <v>10</v>
      </c>
      <c r="F44">
        <v>10</v>
      </c>
    </row>
    <row r="45" spans="1:11" x14ac:dyDescent="0.3">
      <c r="A45">
        <v>121</v>
      </c>
      <c r="B45" t="s">
        <v>263</v>
      </c>
      <c r="C45">
        <v>1</v>
      </c>
      <c r="D45" t="s">
        <v>195</v>
      </c>
      <c r="E45">
        <v>10</v>
      </c>
      <c r="F45">
        <v>10</v>
      </c>
    </row>
    <row r="46" spans="1:11" x14ac:dyDescent="0.3">
      <c r="A46">
        <v>122</v>
      </c>
      <c r="B46" t="s">
        <v>264</v>
      </c>
      <c r="C46">
        <v>1</v>
      </c>
      <c r="D46" t="s">
        <v>195</v>
      </c>
      <c r="E46">
        <v>10</v>
      </c>
      <c r="F46">
        <v>10</v>
      </c>
    </row>
    <row r="47" spans="1:11" x14ac:dyDescent="0.3">
      <c r="A47">
        <v>123</v>
      </c>
      <c r="B47" t="s">
        <v>265</v>
      </c>
      <c r="C47">
        <v>1</v>
      </c>
      <c r="D47" t="s">
        <v>195</v>
      </c>
      <c r="E47">
        <v>10</v>
      </c>
      <c r="F47">
        <v>10</v>
      </c>
    </row>
    <row r="48" spans="1:11" x14ac:dyDescent="0.3">
      <c r="A48">
        <v>126</v>
      </c>
      <c r="B48" t="s">
        <v>268</v>
      </c>
      <c r="C48">
        <v>1</v>
      </c>
      <c r="D48" t="s">
        <v>195</v>
      </c>
      <c r="E48">
        <v>40</v>
      </c>
      <c r="F48">
        <v>10</v>
      </c>
    </row>
    <row r="49" spans="1:11" x14ac:dyDescent="0.3">
      <c r="A49">
        <v>127</v>
      </c>
      <c r="B49" t="s">
        <v>267</v>
      </c>
      <c r="C49">
        <v>1</v>
      </c>
      <c r="D49" t="s">
        <v>195</v>
      </c>
      <c r="E49">
        <v>40</v>
      </c>
      <c r="F49">
        <v>10</v>
      </c>
    </row>
    <row r="50" spans="1:11" x14ac:dyDescent="0.3">
      <c r="A50">
        <v>128</v>
      </c>
      <c r="B50" t="s">
        <v>270</v>
      </c>
      <c r="C50">
        <v>1</v>
      </c>
      <c r="D50" t="s">
        <v>195</v>
      </c>
      <c r="E50">
        <v>50</v>
      </c>
      <c r="F50">
        <v>5</v>
      </c>
    </row>
    <row r="51" spans="1:11" x14ac:dyDescent="0.3">
      <c r="A51">
        <v>129</v>
      </c>
      <c r="B51" t="s">
        <v>271</v>
      </c>
      <c r="C51">
        <v>1</v>
      </c>
      <c r="D51" t="s">
        <v>195</v>
      </c>
      <c r="E51">
        <v>70</v>
      </c>
      <c r="F51">
        <v>10</v>
      </c>
    </row>
    <row r="52" spans="1:11" x14ac:dyDescent="0.3">
      <c r="A52">
        <v>130</v>
      </c>
      <c r="B52" t="s">
        <v>272</v>
      </c>
      <c r="C52">
        <v>1</v>
      </c>
      <c r="D52" t="s">
        <v>195</v>
      </c>
      <c r="E52">
        <v>30</v>
      </c>
      <c r="F52">
        <v>10</v>
      </c>
    </row>
    <row r="53" spans="1:11" x14ac:dyDescent="0.3">
      <c r="A53">
        <v>131</v>
      </c>
      <c r="B53" t="s">
        <v>360</v>
      </c>
      <c r="C53">
        <v>1</v>
      </c>
      <c r="D53" t="s">
        <v>372</v>
      </c>
      <c r="E53">
        <v>25</v>
      </c>
      <c r="F53">
        <v>24</v>
      </c>
      <c r="K53" s="17" t="s">
        <v>532</v>
      </c>
    </row>
    <row r="54" spans="1:11" x14ac:dyDescent="0.3">
      <c r="A54">
        <v>132</v>
      </c>
      <c r="B54" t="s">
        <v>544</v>
      </c>
      <c r="C54">
        <v>1</v>
      </c>
      <c r="D54" t="s">
        <v>372</v>
      </c>
      <c r="E54">
        <v>5</v>
      </c>
      <c r="F54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1374C-40EE-4D51-B04E-518EDB5A70B4}">
  <sheetPr codeName="Sheet11"/>
  <dimension ref="A1:J52"/>
  <sheetViews>
    <sheetView topLeftCell="A31" workbookViewId="0">
      <selection activeCell="B52" sqref="B52"/>
    </sheetView>
  </sheetViews>
  <sheetFormatPr defaultRowHeight="14.4" x14ac:dyDescent="0.3"/>
  <cols>
    <col min="1" max="1" width="14.33203125" bestFit="1" customWidth="1"/>
    <col min="2" max="2" width="14.44140625" bestFit="1" customWidth="1"/>
    <col min="3" max="3" width="11.77734375" bestFit="1" customWidth="1"/>
    <col min="4" max="4" width="17.77734375" bestFit="1" customWidth="1"/>
    <col min="8" max="8" width="9.33203125" customWidth="1"/>
  </cols>
  <sheetData>
    <row r="1" spans="1:9" x14ac:dyDescent="0.3">
      <c r="A1" t="s">
        <v>401</v>
      </c>
      <c r="B1" t="s">
        <v>129</v>
      </c>
      <c r="C1" t="s">
        <v>396</v>
      </c>
      <c r="D1" t="s">
        <v>409</v>
      </c>
      <c r="E1" t="s">
        <v>122</v>
      </c>
      <c r="F1" t="s">
        <v>123</v>
      </c>
      <c r="G1" t="s">
        <v>201</v>
      </c>
      <c r="H1" t="s">
        <v>410</v>
      </c>
      <c r="I1" t="s">
        <v>41</v>
      </c>
    </row>
    <row r="2" spans="1:9" x14ac:dyDescent="0.3">
      <c r="A2">
        <v>100</v>
      </c>
      <c r="B2" t="s">
        <v>121</v>
      </c>
      <c r="C2">
        <v>1</v>
      </c>
      <c r="D2">
        <v>1</v>
      </c>
      <c r="E2">
        <v>0.5</v>
      </c>
      <c r="F2" t="s">
        <v>195</v>
      </c>
      <c r="G2">
        <v>0.1</v>
      </c>
      <c r="H2">
        <v>0.05</v>
      </c>
    </row>
    <row r="3" spans="1:9" x14ac:dyDescent="0.3">
      <c r="A3">
        <v>100</v>
      </c>
      <c r="B3" t="s">
        <v>121</v>
      </c>
      <c r="C3">
        <v>2</v>
      </c>
      <c r="D3">
        <v>2</v>
      </c>
      <c r="E3">
        <v>0.1</v>
      </c>
      <c r="F3" t="s">
        <v>195</v>
      </c>
      <c r="G3">
        <v>0.1</v>
      </c>
      <c r="H3">
        <v>0.05</v>
      </c>
    </row>
    <row r="4" spans="1:9" x14ac:dyDescent="0.3">
      <c r="A4">
        <v>100</v>
      </c>
      <c r="B4" t="s">
        <v>121</v>
      </c>
      <c r="C4">
        <v>3</v>
      </c>
      <c r="D4">
        <v>3</v>
      </c>
      <c r="E4">
        <v>0.25</v>
      </c>
      <c r="F4" t="s">
        <v>195</v>
      </c>
      <c r="G4">
        <v>0.1</v>
      </c>
      <c r="H4">
        <v>0.05</v>
      </c>
    </row>
    <row r="5" spans="1:9" x14ac:dyDescent="0.3">
      <c r="A5">
        <v>100</v>
      </c>
      <c r="B5" t="s">
        <v>121</v>
      </c>
      <c r="C5">
        <v>4</v>
      </c>
      <c r="D5">
        <v>4</v>
      </c>
      <c r="E5">
        <v>0.25</v>
      </c>
      <c r="F5" t="s">
        <v>195</v>
      </c>
      <c r="G5">
        <v>0.1</v>
      </c>
      <c r="H5">
        <v>0.05</v>
      </c>
    </row>
    <row r="6" spans="1:9" x14ac:dyDescent="0.3">
      <c r="A6">
        <v>100</v>
      </c>
      <c r="B6" t="s">
        <v>121</v>
      </c>
      <c r="C6">
        <v>5</v>
      </c>
      <c r="D6">
        <v>8</v>
      </c>
      <c r="E6">
        <v>0.5</v>
      </c>
      <c r="F6" t="s">
        <v>195</v>
      </c>
      <c r="G6">
        <v>0.1</v>
      </c>
      <c r="H6">
        <v>0.05</v>
      </c>
    </row>
    <row r="7" spans="1:9" x14ac:dyDescent="0.3">
      <c r="A7">
        <v>101</v>
      </c>
      <c r="B7" t="s">
        <v>128</v>
      </c>
      <c r="C7">
        <v>1</v>
      </c>
      <c r="D7">
        <v>5</v>
      </c>
      <c r="E7">
        <v>0.5</v>
      </c>
      <c r="F7" t="s">
        <v>195</v>
      </c>
      <c r="G7">
        <v>0.1</v>
      </c>
      <c r="H7">
        <v>0.05</v>
      </c>
    </row>
    <row r="8" spans="1:9" x14ac:dyDescent="0.3">
      <c r="A8">
        <v>101</v>
      </c>
      <c r="B8" t="s">
        <v>128</v>
      </c>
      <c r="C8">
        <v>2</v>
      </c>
      <c r="D8">
        <v>2</v>
      </c>
      <c r="E8">
        <v>0.2</v>
      </c>
      <c r="F8" t="s">
        <v>195</v>
      </c>
      <c r="G8">
        <v>0.1</v>
      </c>
      <c r="H8">
        <v>0.05</v>
      </c>
    </row>
    <row r="9" spans="1:9" x14ac:dyDescent="0.3">
      <c r="A9">
        <v>101</v>
      </c>
      <c r="B9" t="s">
        <v>128</v>
      </c>
      <c r="C9">
        <v>3</v>
      </c>
      <c r="D9">
        <v>3</v>
      </c>
      <c r="E9">
        <v>0.25</v>
      </c>
      <c r="F9" t="s">
        <v>195</v>
      </c>
      <c r="G9">
        <v>0.1</v>
      </c>
      <c r="H9">
        <v>0.05</v>
      </c>
    </row>
    <row r="10" spans="1:9" x14ac:dyDescent="0.3">
      <c r="A10">
        <v>101</v>
      </c>
      <c r="B10" t="s">
        <v>128</v>
      </c>
      <c r="C10">
        <v>4</v>
      </c>
      <c r="D10">
        <v>4</v>
      </c>
      <c r="E10">
        <v>0.25</v>
      </c>
      <c r="F10" t="s">
        <v>195</v>
      </c>
      <c r="G10">
        <v>0.1</v>
      </c>
      <c r="H10">
        <v>0.05</v>
      </c>
    </row>
    <row r="11" spans="1:9" x14ac:dyDescent="0.3">
      <c r="A11">
        <v>101</v>
      </c>
      <c r="B11" t="s">
        <v>128</v>
      </c>
      <c r="C11">
        <v>5</v>
      </c>
      <c r="D11">
        <v>8</v>
      </c>
      <c r="E11">
        <v>0.5</v>
      </c>
      <c r="F11" t="s">
        <v>195</v>
      </c>
      <c r="G11">
        <v>0.1</v>
      </c>
      <c r="H11">
        <v>0.05</v>
      </c>
    </row>
    <row r="12" spans="1:9" x14ac:dyDescent="0.3">
      <c r="A12">
        <v>102</v>
      </c>
      <c r="B12" t="s">
        <v>127</v>
      </c>
      <c r="C12">
        <v>1</v>
      </c>
      <c r="D12">
        <v>10</v>
      </c>
      <c r="E12">
        <v>0.25</v>
      </c>
      <c r="F12" t="s">
        <v>371</v>
      </c>
      <c r="G12">
        <v>0</v>
      </c>
      <c r="H12">
        <v>0.05</v>
      </c>
    </row>
    <row r="13" spans="1:9" x14ac:dyDescent="0.3">
      <c r="A13">
        <v>103</v>
      </c>
      <c r="B13" t="s">
        <v>130</v>
      </c>
      <c r="C13">
        <v>1</v>
      </c>
      <c r="D13">
        <v>11</v>
      </c>
      <c r="E13">
        <v>1</v>
      </c>
      <c r="F13" t="s">
        <v>372</v>
      </c>
      <c r="G13">
        <v>0</v>
      </c>
      <c r="H13">
        <v>0.05</v>
      </c>
    </row>
    <row r="14" spans="1:9" x14ac:dyDescent="0.3">
      <c r="A14">
        <v>104</v>
      </c>
      <c r="B14" t="s">
        <v>407</v>
      </c>
      <c r="C14">
        <v>1</v>
      </c>
      <c r="D14">
        <v>9</v>
      </c>
      <c r="E14">
        <v>0.25</v>
      </c>
      <c r="F14" t="s">
        <v>195</v>
      </c>
      <c r="G14">
        <v>0</v>
      </c>
      <c r="H14">
        <v>0.05</v>
      </c>
    </row>
    <row r="15" spans="1:9" x14ac:dyDescent="0.3">
      <c r="A15">
        <v>105</v>
      </c>
      <c r="B15" t="s">
        <v>64</v>
      </c>
      <c r="C15">
        <v>1</v>
      </c>
      <c r="D15">
        <v>2</v>
      </c>
      <c r="E15">
        <v>0.1</v>
      </c>
      <c r="F15" t="s">
        <v>195</v>
      </c>
      <c r="G15">
        <v>0.1</v>
      </c>
      <c r="H15">
        <v>0.1</v>
      </c>
    </row>
    <row r="16" spans="1:9" x14ac:dyDescent="0.3">
      <c r="A16">
        <v>105</v>
      </c>
      <c r="B16" t="s">
        <v>64</v>
      </c>
      <c r="C16">
        <v>2</v>
      </c>
      <c r="D16">
        <v>3</v>
      </c>
      <c r="E16">
        <v>0.25</v>
      </c>
      <c r="F16" t="s">
        <v>195</v>
      </c>
      <c r="G16">
        <v>0.1</v>
      </c>
      <c r="H16">
        <v>0.1</v>
      </c>
    </row>
    <row r="17" spans="1:8" x14ac:dyDescent="0.3">
      <c r="A17">
        <v>105</v>
      </c>
      <c r="B17" t="s">
        <v>64</v>
      </c>
      <c r="C17">
        <v>3</v>
      </c>
      <c r="D17">
        <v>4</v>
      </c>
      <c r="E17">
        <v>0.25</v>
      </c>
      <c r="F17" t="s">
        <v>195</v>
      </c>
      <c r="G17">
        <v>0.1</v>
      </c>
      <c r="H17">
        <v>0.1</v>
      </c>
    </row>
    <row r="18" spans="1:8" x14ac:dyDescent="0.3">
      <c r="A18">
        <v>106</v>
      </c>
      <c r="B18" t="s">
        <v>418</v>
      </c>
      <c r="C18">
        <v>1</v>
      </c>
      <c r="D18">
        <v>29</v>
      </c>
      <c r="E18">
        <v>0.5</v>
      </c>
      <c r="F18" t="s">
        <v>195</v>
      </c>
      <c r="G18">
        <v>0.1</v>
      </c>
      <c r="H18">
        <v>0.05</v>
      </c>
    </row>
    <row r="19" spans="1:8" x14ac:dyDescent="0.3">
      <c r="A19">
        <v>106</v>
      </c>
      <c r="B19" t="s">
        <v>418</v>
      </c>
      <c r="C19">
        <v>2</v>
      </c>
      <c r="D19">
        <v>22</v>
      </c>
      <c r="E19">
        <v>0.1</v>
      </c>
      <c r="F19" t="s">
        <v>195</v>
      </c>
      <c r="G19">
        <v>0.1</v>
      </c>
      <c r="H19">
        <v>0.05</v>
      </c>
    </row>
    <row r="20" spans="1:8" x14ac:dyDescent="0.3">
      <c r="A20">
        <v>106</v>
      </c>
      <c r="B20" t="s">
        <v>418</v>
      </c>
      <c r="C20">
        <v>3</v>
      </c>
      <c r="D20">
        <v>6</v>
      </c>
      <c r="E20">
        <v>0.5</v>
      </c>
      <c r="F20" t="s">
        <v>195</v>
      </c>
      <c r="G20">
        <v>0.1</v>
      </c>
      <c r="H20">
        <v>0.05</v>
      </c>
    </row>
    <row r="21" spans="1:8" x14ac:dyDescent="0.3">
      <c r="A21">
        <v>106</v>
      </c>
      <c r="B21" t="s">
        <v>418</v>
      </c>
      <c r="C21">
        <v>4</v>
      </c>
      <c r="D21">
        <v>26</v>
      </c>
      <c r="E21">
        <v>0.25</v>
      </c>
      <c r="F21" t="s">
        <v>195</v>
      </c>
      <c r="G21">
        <v>0.1</v>
      </c>
      <c r="H21">
        <v>0.05</v>
      </c>
    </row>
    <row r="22" spans="1:8" x14ac:dyDescent="0.3">
      <c r="A22">
        <v>106</v>
      </c>
      <c r="B22" t="s">
        <v>418</v>
      </c>
      <c r="C22">
        <v>5</v>
      </c>
      <c r="D22">
        <v>27</v>
      </c>
      <c r="E22">
        <v>0.25</v>
      </c>
      <c r="F22" t="s">
        <v>195</v>
      </c>
      <c r="G22">
        <v>0.1</v>
      </c>
      <c r="H22">
        <v>0.05</v>
      </c>
    </row>
    <row r="23" spans="1:8" x14ac:dyDescent="0.3">
      <c r="A23">
        <v>106</v>
      </c>
      <c r="B23" t="s">
        <v>418</v>
      </c>
      <c r="C23">
        <v>6</v>
      </c>
      <c r="D23">
        <v>28</v>
      </c>
      <c r="E23">
        <v>0.1</v>
      </c>
      <c r="F23" t="s">
        <v>416</v>
      </c>
      <c r="G23">
        <v>0.1</v>
      </c>
      <c r="H23">
        <v>0.05</v>
      </c>
    </row>
    <row r="24" spans="1:8" x14ac:dyDescent="0.3">
      <c r="A24">
        <v>125</v>
      </c>
      <c r="B24" t="s">
        <v>138</v>
      </c>
      <c r="C24">
        <v>1</v>
      </c>
      <c r="D24">
        <v>24</v>
      </c>
      <c r="E24">
        <v>0.5</v>
      </c>
      <c r="F24" t="s">
        <v>195</v>
      </c>
      <c r="G24">
        <v>0.1</v>
      </c>
      <c r="H24">
        <v>0.05</v>
      </c>
    </row>
    <row r="25" spans="1:8" x14ac:dyDescent="0.3">
      <c r="A25">
        <v>125</v>
      </c>
      <c r="B25" t="s">
        <v>138</v>
      </c>
      <c r="C25">
        <v>2</v>
      </c>
      <c r="D25">
        <v>2</v>
      </c>
      <c r="E25">
        <v>0.1</v>
      </c>
      <c r="F25" t="s">
        <v>195</v>
      </c>
      <c r="G25">
        <v>0.1</v>
      </c>
      <c r="H25">
        <v>0.05</v>
      </c>
    </row>
    <row r="26" spans="1:8" x14ac:dyDescent="0.3">
      <c r="A26">
        <v>125</v>
      </c>
      <c r="B26" t="s">
        <v>138</v>
      </c>
      <c r="C26">
        <v>3</v>
      </c>
      <c r="D26">
        <v>3</v>
      </c>
      <c r="E26">
        <v>0.5</v>
      </c>
      <c r="F26" t="s">
        <v>195</v>
      </c>
      <c r="G26">
        <v>0.1</v>
      </c>
      <c r="H26">
        <v>0.05</v>
      </c>
    </row>
    <row r="27" spans="1:8" x14ac:dyDescent="0.3">
      <c r="A27">
        <v>125</v>
      </c>
      <c r="B27" t="s">
        <v>138</v>
      </c>
      <c r="C27">
        <v>4</v>
      </c>
      <c r="D27">
        <v>4</v>
      </c>
      <c r="E27">
        <v>0.25</v>
      </c>
      <c r="F27" t="s">
        <v>195</v>
      </c>
      <c r="G27">
        <v>0.1</v>
      </c>
      <c r="H27">
        <v>0.05</v>
      </c>
    </row>
    <row r="28" spans="1:8" x14ac:dyDescent="0.3">
      <c r="A28">
        <v>125</v>
      </c>
      <c r="B28" t="s">
        <v>138</v>
      </c>
      <c r="C28">
        <v>5</v>
      </c>
      <c r="D28">
        <v>8</v>
      </c>
      <c r="E28">
        <v>0.5</v>
      </c>
      <c r="F28" t="s">
        <v>195</v>
      </c>
      <c r="G28">
        <v>0.1</v>
      </c>
      <c r="H28">
        <v>0.05</v>
      </c>
    </row>
    <row r="29" spans="1:8" x14ac:dyDescent="0.3">
      <c r="A29">
        <v>111</v>
      </c>
      <c r="B29" t="s">
        <v>142</v>
      </c>
      <c r="C29">
        <v>1</v>
      </c>
      <c r="D29">
        <v>25</v>
      </c>
      <c r="E29">
        <v>0.5</v>
      </c>
      <c r="F29" t="s">
        <v>195</v>
      </c>
      <c r="G29">
        <v>0.1</v>
      </c>
      <c r="H29">
        <v>0.05</v>
      </c>
    </row>
    <row r="30" spans="1:8" x14ac:dyDescent="0.3">
      <c r="A30">
        <v>111</v>
      </c>
      <c r="B30" t="s">
        <v>142</v>
      </c>
      <c r="C30">
        <v>2</v>
      </c>
      <c r="D30">
        <v>2</v>
      </c>
      <c r="E30">
        <v>0.1</v>
      </c>
      <c r="F30" t="s">
        <v>195</v>
      </c>
      <c r="G30">
        <v>0.1</v>
      </c>
      <c r="H30">
        <v>0.05</v>
      </c>
    </row>
    <row r="31" spans="1:8" x14ac:dyDescent="0.3">
      <c r="A31">
        <v>111</v>
      </c>
      <c r="B31" t="s">
        <v>142</v>
      </c>
      <c r="C31">
        <v>3</v>
      </c>
      <c r="D31">
        <v>26</v>
      </c>
      <c r="E31">
        <v>0.25</v>
      </c>
      <c r="F31" t="s">
        <v>195</v>
      </c>
      <c r="G31">
        <v>0.1</v>
      </c>
      <c r="H31">
        <v>0.05</v>
      </c>
    </row>
    <row r="32" spans="1:8" x14ac:dyDescent="0.3">
      <c r="A32">
        <v>111</v>
      </c>
      <c r="B32" t="s">
        <v>142</v>
      </c>
      <c r="C32">
        <v>4</v>
      </c>
      <c r="D32">
        <v>27</v>
      </c>
      <c r="E32">
        <v>0.25</v>
      </c>
      <c r="F32" t="s">
        <v>195</v>
      </c>
      <c r="G32">
        <v>0.1</v>
      </c>
      <c r="H32">
        <v>0.05</v>
      </c>
    </row>
    <row r="33" spans="1:8" x14ac:dyDescent="0.3">
      <c r="A33">
        <v>111</v>
      </c>
      <c r="B33" t="s">
        <v>142</v>
      </c>
      <c r="C33">
        <v>5</v>
      </c>
      <c r="D33">
        <v>28</v>
      </c>
      <c r="E33">
        <v>0.1</v>
      </c>
      <c r="F33" t="s">
        <v>416</v>
      </c>
      <c r="G33">
        <v>0.1</v>
      </c>
      <c r="H33">
        <v>0.05</v>
      </c>
    </row>
    <row r="34" spans="1:8" x14ac:dyDescent="0.3">
      <c r="A34">
        <v>113</v>
      </c>
      <c r="B34" t="s">
        <v>158</v>
      </c>
      <c r="D34">
        <v>6</v>
      </c>
      <c r="E34">
        <v>0.25</v>
      </c>
      <c r="F34" t="s">
        <v>195</v>
      </c>
      <c r="G34">
        <v>0.1</v>
      </c>
      <c r="H34">
        <v>0.05</v>
      </c>
    </row>
    <row r="35" spans="1:8" x14ac:dyDescent="0.3">
      <c r="A35">
        <v>113</v>
      </c>
      <c r="B35" t="s">
        <v>158</v>
      </c>
      <c r="D35">
        <v>30</v>
      </c>
      <c r="E35">
        <v>0.1</v>
      </c>
      <c r="F35" t="s">
        <v>195</v>
      </c>
      <c r="G35">
        <v>0.1</v>
      </c>
      <c r="H35">
        <v>0.05</v>
      </c>
    </row>
    <row r="36" spans="1:8" x14ac:dyDescent="0.3">
      <c r="A36">
        <v>113</v>
      </c>
      <c r="B36" t="s">
        <v>158</v>
      </c>
      <c r="D36">
        <v>2</v>
      </c>
      <c r="E36">
        <v>0.05</v>
      </c>
      <c r="F36" t="s">
        <v>195</v>
      </c>
      <c r="G36">
        <v>0.1</v>
      </c>
      <c r="H36">
        <v>0.05</v>
      </c>
    </row>
    <row r="37" spans="1:8" x14ac:dyDescent="0.3">
      <c r="A37">
        <v>113</v>
      </c>
      <c r="B37" t="s">
        <v>158</v>
      </c>
      <c r="D37">
        <v>28</v>
      </c>
      <c r="E37">
        <v>0.1</v>
      </c>
      <c r="F37" t="s">
        <v>416</v>
      </c>
      <c r="G37">
        <v>0.1</v>
      </c>
      <c r="H37">
        <v>0.05</v>
      </c>
    </row>
    <row r="38" spans="1:8" x14ac:dyDescent="0.3">
      <c r="A38">
        <v>120</v>
      </c>
      <c r="B38" t="s">
        <v>262</v>
      </c>
      <c r="C38">
        <v>1</v>
      </c>
      <c r="D38">
        <v>8</v>
      </c>
      <c r="E38">
        <v>0.5</v>
      </c>
      <c r="F38" t="s">
        <v>125</v>
      </c>
      <c r="G38">
        <v>0.1</v>
      </c>
      <c r="H38">
        <v>0.1</v>
      </c>
    </row>
    <row r="39" spans="1:8" x14ac:dyDescent="0.3">
      <c r="A39">
        <v>120</v>
      </c>
      <c r="B39" t="s">
        <v>262</v>
      </c>
      <c r="C39">
        <v>2</v>
      </c>
      <c r="D39">
        <v>2</v>
      </c>
      <c r="E39">
        <v>0.05</v>
      </c>
      <c r="F39" t="s">
        <v>195</v>
      </c>
      <c r="G39">
        <v>0.1</v>
      </c>
      <c r="H39">
        <v>0.1</v>
      </c>
    </row>
    <row r="40" spans="1:8" x14ac:dyDescent="0.3">
      <c r="A40">
        <v>109</v>
      </c>
      <c r="B40" t="s">
        <v>140</v>
      </c>
      <c r="C40">
        <v>1</v>
      </c>
      <c r="D40">
        <v>31</v>
      </c>
      <c r="E40">
        <v>0.5</v>
      </c>
      <c r="F40" t="s">
        <v>195</v>
      </c>
      <c r="G40">
        <v>0.1</v>
      </c>
      <c r="H40">
        <v>0.1</v>
      </c>
    </row>
    <row r="41" spans="1:8" x14ac:dyDescent="0.3">
      <c r="A41">
        <v>109</v>
      </c>
      <c r="B41" t="s">
        <v>140</v>
      </c>
      <c r="C41">
        <v>2</v>
      </c>
      <c r="D41">
        <v>2</v>
      </c>
      <c r="E41">
        <v>0.05</v>
      </c>
      <c r="F41" t="s">
        <v>195</v>
      </c>
      <c r="G41">
        <v>0.1</v>
      </c>
      <c r="H41">
        <v>0.1</v>
      </c>
    </row>
    <row r="42" spans="1:8" x14ac:dyDescent="0.3">
      <c r="A42">
        <v>112</v>
      </c>
      <c r="B42" t="s">
        <v>529</v>
      </c>
      <c r="C42">
        <v>1</v>
      </c>
      <c r="D42">
        <v>6</v>
      </c>
      <c r="E42">
        <v>0.25</v>
      </c>
      <c r="F42" t="s">
        <v>195</v>
      </c>
      <c r="G42">
        <v>0.1</v>
      </c>
      <c r="H42">
        <v>0.1</v>
      </c>
    </row>
    <row r="43" spans="1:8" x14ac:dyDescent="0.3">
      <c r="A43">
        <v>112</v>
      </c>
      <c r="B43" t="s">
        <v>65</v>
      </c>
      <c r="C43">
        <v>2</v>
      </c>
      <c r="D43">
        <v>2</v>
      </c>
      <c r="E43">
        <v>0.05</v>
      </c>
      <c r="F43" t="s">
        <v>195</v>
      </c>
      <c r="G43">
        <v>0.1</v>
      </c>
      <c r="H43">
        <v>0.1</v>
      </c>
    </row>
    <row r="44" spans="1:8" x14ac:dyDescent="0.3">
      <c r="A44">
        <v>112</v>
      </c>
      <c r="B44" t="s">
        <v>65</v>
      </c>
      <c r="C44">
        <v>3</v>
      </c>
      <c r="D44">
        <v>28</v>
      </c>
      <c r="E44">
        <v>0.1</v>
      </c>
      <c r="F44" t="s">
        <v>416</v>
      </c>
      <c r="G44">
        <v>0.1</v>
      </c>
      <c r="H44">
        <v>5.0000000000000001E-3</v>
      </c>
    </row>
    <row r="45" spans="1:8" x14ac:dyDescent="0.3">
      <c r="A45">
        <v>113</v>
      </c>
      <c r="B45" t="s">
        <v>158</v>
      </c>
      <c r="C45">
        <v>1</v>
      </c>
      <c r="D45">
        <v>6</v>
      </c>
      <c r="E45">
        <v>0.25</v>
      </c>
      <c r="F45" t="s">
        <v>195</v>
      </c>
      <c r="G45">
        <v>0.1</v>
      </c>
      <c r="H45">
        <v>0.1</v>
      </c>
    </row>
    <row r="46" spans="1:8" x14ac:dyDescent="0.3">
      <c r="A46">
        <v>113</v>
      </c>
      <c r="B46" t="s">
        <v>158</v>
      </c>
      <c r="C46">
        <v>2</v>
      </c>
      <c r="D46">
        <v>2</v>
      </c>
      <c r="E46">
        <v>0.05</v>
      </c>
      <c r="F46" t="s">
        <v>195</v>
      </c>
      <c r="G46">
        <v>0.1</v>
      </c>
      <c r="H46">
        <v>0.1</v>
      </c>
    </row>
    <row r="47" spans="1:8" x14ac:dyDescent="0.3">
      <c r="A47">
        <v>113</v>
      </c>
      <c r="B47" t="s">
        <v>158</v>
      </c>
      <c r="C47">
        <v>3</v>
      </c>
      <c r="D47">
        <v>30</v>
      </c>
      <c r="E47">
        <v>0.1</v>
      </c>
      <c r="F47" t="s">
        <v>195</v>
      </c>
      <c r="G47">
        <v>0.1</v>
      </c>
      <c r="H47">
        <v>0.1</v>
      </c>
    </row>
    <row r="48" spans="1:8" x14ac:dyDescent="0.3">
      <c r="A48">
        <v>113</v>
      </c>
      <c r="B48" t="s">
        <v>158</v>
      </c>
      <c r="C48">
        <v>4</v>
      </c>
      <c r="D48">
        <v>28</v>
      </c>
      <c r="E48">
        <v>0.1</v>
      </c>
      <c r="F48" t="s">
        <v>416</v>
      </c>
      <c r="G48">
        <v>0.1</v>
      </c>
      <c r="H48">
        <v>5.0000000000000001E-3</v>
      </c>
    </row>
    <row r="49" spans="1:10" x14ac:dyDescent="0.3">
      <c r="A49">
        <v>116</v>
      </c>
      <c r="B49" t="s">
        <v>68</v>
      </c>
      <c r="C49">
        <v>1</v>
      </c>
      <c r="D49">
        <v>33</v>
      </c>
      <c r="E49">
        <v>0.5</v>
      </c>
      <c r="F49" t="s">
        <v>195</v>
      </c>
      <c r="G49">
        <v>0.1</v>
      </c>
      <c r="H49">
        <v>0.1</v>
      </c>
      <c r="J49" t="s">
        <v>530</v>
      </c>
    </row>
    <row r="50" spans="1:10" x14ac:dyDescent="0.3">
      <c r="A50">
        <v>116</v>
      </c>
      <c r="B50" t="s">
        <v>68</v>
      </c>
      <c r="C50">
        <v>2</v>
      </c>
      <c r="D50">
        <v>2</v>
      </c>
      <c r="E50">
        <v>0.05</v>
      </c>
      <c r="F50" t="s">
        <v>195</v>
      </c>
      <c r="G50">
        <v>0.1</v>
      </c>
      <c r="H50">
        <v>0.1</v>
      </c>
      <c r="J50" t="s">
        <v>449</v>
      </c>
    </row>
    <row r="51" spans="1:10" x14ac:dyDescent="0.3">
      <c r="A51">
        <v>118</v>
      </c>
      <c r="B51" t="s">
        <v>260</v>
      </c>
      <c r="C51">
        <v>1</v>
      </c>
      <c r="D51">
        <v>33</v>
      </c>
      <c r="E51">
        <v>0.5</v>
      </c>
      <c r="F51" t="s">
        <v>195</v>
      </c>
      <c r="G51">
        <v>0.1</v>
      </c>
      <c r="H51">
        <v>0.1</v>
      </c>
    </row>
    <row r="52" spans="1:10" x14ac:dyDescent="0.3">
      <c r="A52">
        <v>118</v>
      </c>
      <c r="B52" t="s">
        <v>260</v>
      </c>
      <c r="C52">
        <v>2</v>
      </c>
      <c r="D52">
        <v>2</v>
      </c>
      <c r="E52">
        <v>0.05</v>
      </c>
      <c r="F52" t="s">
        <v>195</v>
      </c>
      <c r="G52">
        <v>0.1</v>
      </c>
      <c r="H52">
        <v>0.1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8879-9749-4FC2-B4BA-15F52F19D2CF}">
  <sheetPr codeName="Sheet6"/>
  <dimension ref="A1:G7"/>
  <sheetViews>
    <sheetView workbookViewId="0">
      <selection activeCell="D1" sqref="D1:D1048576"/>
    </sheetView>
  </sheetViews>
  <sheetFormatPr defaultRowHeight="14.4" x14ac:dyDescent="0.3"/>
  <cols>
    <col min="1" max="1" width="12.21875" bestFit="1" customWidth="1"/>
    <col min="2" max="3" width="12.88671875" bestFit="1" customWidth="1"/>
    <col min="4" max="4" width="23.21875" bestFit="1" customWidth="1"/>
    <col min="9" max="10" width="14.77734375" customWidth="1"/>
  </cols>
  <sheetData>
    <row r="1" spans="1:7" x14ac:dyDescent="0.3">
      <c r="A1" s="19" t="s">
        <v>396</v>
      </c>
      <c r="B1" s="19" t="s">
        <v>129</v>
      </c>
      <c r="C1" s="19" t="s">
        <v>122</v>
      </c>
      <c r="D1" s="19" t="s">
        <v>452</v>
      </c>
      <c r="G1" s="19" t="s">
        <v>451</v>
      </c>
    </row>
    <row r="2" spans="1:7" x14ac:dyDescent="0.3">
      <c r="A2">
        <v>1</v>
      </c>
      <c r="B2" t="s">
        <v>50</v>
      </c>
      <c r="C2">
        <v>250</v>
      </c>
      <c r="D2">
        <v>500</v>
      </c>
    </row>
    <row r="3" spans="1:7" x14ac:dyDescent="0.3">
      <c r="A3">
        <v>2</v>
      </c>
      <c r="B3" t="s">
        <v>362</v>
      </c>
      <c r="C3">
        <v>50</v>
      </c>
      <c r="D3">
        <v>100</v>
      </c>
    </row>
    <row r="4" spans="1:7" x14ac:dyDescent="0.3">
      <c r="A4">
        <v>3</v>
      </c>
      <c r="B4" t="s">
        <v>363</v>
      </c>
      <c r="C4">
        <v>200</v>
      </c>
      <c r="D4">
        <v>500</v>
      </c>
    </row>
    <row r="5" spans="1:7" x14ac:dyDescent="0.3">
      <c r="A5">
        <v>4</v>
      </c>
      <c r="B5" t="s">
        <v>364</v>
      </c>
      <c r="C5">
        <v>200</v>
      </c>
      <c r="D5">
        <v>500</v>
      </c>
    </row>
    <row r="6" spans="1:7" x14ac:dyDescent="0.3">
      <c r="A6">
        <v>5</v>
      </c>
      <c r="B6" t="s">
        <v>51</v>
      </c>
      <c r="C6">
        <v>250</v>
      </c>
      <c r="D6">
        <v>500</v>
      </c>
    </row>
    <row r="7" spans="1:7" x14ac:dyDescent="0.3">
      <c r="A7">
        <v>8</v>
      </c>
      <c r="B7" t="s">
        <v>262</v>
      </c>
      <c r="C7">
        <v>500</v>
      </c>
      <c r="D7"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B972-5689-4A50-A85D-49F058748AB5}">
  <sheetPr codeName="Sheet7"/>
  <dimension ref="A1:O112"/>
  <sheetViews>
    <sheetView workbookViewId="0">
      <selection activeCell="B7" sqref="B7"/>
    </sheetView>
  </sheetViews>
  <sheetFormatPr defaultRowHeight="14.4" x14ac:dyDescent="0.3"/>
  <cols>
    <col min="1" max="1" width="12.21875" bestFit="1" customWidth="1"/>
    <col min="2" max="3" width="12.88671875" bestFit="1" customWidth="1"/>
    <col min="6" max="6" width="18.6640625" bestFit="1" customWidth="1"/>
    <col min="7" max="7" width="18.6640625" customWidth="1"/>
    <col min="13" max="14" width="14.77734375" customWidth="1"/>
  </cols>
  <sheetData>
    <row r="1" spans="1:11" x14ac:dyDescent="0.3">
      <c r="A1" s="19" t="s">
        <v>396</v>
      </c>
      <c r="B1" s="19" t="s">
        <v>129</v>
      </c>
      <c r="C1" s="19" t="s">
        <v>122</v>
      </c>
      <c r="D1" s="19" t="s">
        <v>123</v>
      </c>
      <c r="E1" s="19" t="s">
        <v>41</v>
      </c>
      <c r="F1" s="19" t="s">
        <v>367</v>
      </c>
      <c r="G1" s="19" t="s">
        <v>452</v>
      </c>
      <c r="H1" s="19" t="s">
        <v>489</v>
      </c>
      <c r="K1" s="19" t="s">
        <v>451</v>
      </c>
    </row>
    <row r="2" spans="1:11" x14ac:dyDescent="0.3">
      <c r="A2">
        <v>1</v>
      </c>
      <c r="B2" t="s">
        <v>124</v>
      </c>
      <c r="C2">
        <v>250</v>
      </c>
      <c r="D2" t="s">
        <v>195</v>
      </c>
      <c r="E2">
        <v>5</v>
      </c>
      <c r="F2" t="s">
        <v>432</v>
      </c>
      <c r="G2">
        <v>500</v>
      </c>
      <c r="H2" t="s">
        <v>368</v>
      </c>
    </row>
    <row r="3" spans="1:11" x14ac:dyDescent="0.3">
      <c r="A3">
        <v>2</v>
      </c>
      <c r="B3" t="s">
        <v>362</v>
      </c>
      <c r="C3">
        <v>50</v>
      </c>
      <c r="D3" t="s">
        <v>195</v>
      </c>
      <c r="E3">
        <v>5</v>
      </c>
      <c r="F3" t="s">
        <v>432</v>
      </c>
      <c r="G3">
        <v>100</v>
      </c>
      <c r="H3" t="s">
        <v>432</v>
      </c>
    </row>
    <row r="4" spans="1:11" x14ac:dyDescent="0.3">
      <c r="A4">
        <v>3</v>
      </c>
      <c r="B4" t="s">
        <v>363</v>
      </c>
      <c r="C4">
        <v>500</v>
      </c>
      <c r="D4" t="s">
        <v>195</v>
      </c>
      <c r="E4">
        <v>0.5</v>
      </c>
      <c r="F4" t="s">
        <v>432</v>
      </c>
      <c r="G4">
        <v>500</v>
      </c>
      <c r="H4" t="s">
        <v>432</v>
      </c>
    </row>
    <row r="5" spans="1:11" x14ac:dyDescent="0.3">
      <c r="A5">
        <v>4</v>
      </c>
      <c r="B5" t="s">
        <v>364</v>
      </c>
      <c r="C5">
        <v>100</v>
      </c>
      <c r="D5" t="s">
        <v>195</v>
      </c>
      <c r="E5">
        <v>2</v>
      </c>
      <c r="F5" t="s">
        <v>432</v>
      </c>
      <c r="G5">
        <v>500</v>
      </c>
      <c r="H5" t="s">
        <v>368</v>
      </c>
    </row>
    <row r="6" spans="1:11" x14ac:dyDescent="0.3">
      <c r="A6">
        <v>5</v>
      </c>
      <c r="B6" t="s">
        <v>497</v>
      </c>
      <c r="C6">
        <v>100</v>
      </c>
      <c r="D6" t="s">
        <v>195</v>
      </c>
      <c r="E6">
        <v>7</v>
      </c>
      <c r="F6" t="s">
        <v>432</v>
      </c>
      <c r="G6">
        <v>500</v>
      </c>
      <c r="H6" t="s">
        <v>368</v>
      </c>
    </row>
    <row r="7" spans="1:11" x14ac:dyDescent="0.3">
      <c r="A7">
        <v>6</v>
      </c>
      <c r="B7" t="s">
        <v>65</v>
      </c>
      <c r="C7">
        <v>100</v>
      </c>
      <c r="D7" t="s">
        <v>195</v>
      </c>
      <c r="E7">
        <v>0.5</v>
      </c>
      <c r="F7" t="s">
        <v>432</v>
      </c>
      <c r="G7">
        <v>0</v>
      </c>
      <c r="H7" t="s">
        <v>432</v>
      </c>
    </row>
    <row r="8" spans="1:11" x14ac:dyDescent="0.3">
      <c r="A8">
        <v>7</v>
      </c>
      <c r="B8" t="s">
        <v>370</v>
      </c>
      <c r="C8">
        <v>100</v>
      </c>
      <c r="D8" t="s">
        <v>195</v>
      </c>
      <c r="E8">
        <v>10</v>
      </c>
      <c r="F8" t="s">
        <v>432</v>
      </c>
      <c r="G8">
        <v>0</v>
      </c>
      <c r="H8" t="s">
        <v>368</v>
      </c>
    </row>
    <row r="9" spans="1:11" x14ac:dyDescent="0.3">
      <c r="A9">
        <v>8</v>
      </c>
      <c r="B9" t="s">
        <v>262</v>
      </c>
      <c r="C9">
        <v>100</v>
      </c>
      <c r="D9" t="s">
        <v>195</v>
      </c>
      <c r="E9">
        <v>1</v>
      </c>
      <c r="F9" t="s">
        <v>432</v>
      </c>
      <c r="G9">
        <v>0</v>
      </c>
      <c r="H9" t="s">
        <v>368</v>
      </c>
    </row>
    <row r="10" spans="1:11" x14ac:dyDescent="0.3">
      <c r="A10">
        <v>9</v>
      </c>
      <c r="B10" t="s">
        <v>194</v>
      </c>
      <c r="C10">
        <v>50</v>
      </c>
      <c r="D10" t="s">
        <v>195</v>
      </c>
      <c r="E10">
        <v>2.5</v>
      </c>
      <c r="F10" t="s">
        <v>432</v>
      </c>
      <c r="G10">
        <v>0</v>
      </c>
      <c r="H10" t="s">
        <v>432</v>
      </c>
    </row>
    <row r="11" spans="1:11" x14ac:dyDescent="0.3">
      <c r="A11">
        <v>10</v>
      </c>
      <c r="B11" t="s">
        <v>127</v>
      </c>
      <c r="C11">
        <v>20</v>
      </c>
      <c r="D11" t="s">
        <v>371</v>
      </c>
      <c r="E11">
        <v>0.25</v>
      </c>
      <c r="F11" t="s">
        <v>432</v>
      </c>
      <c r="G11">
        <v>0</v>
      </c>
      <c r="H11" t="s">
        <v>432</v>
      </c>
    </row>
    <row r="12" spans="1:11" x14ac:dyDescent="0.3">
      <c r="A12">
        <v>11</v>
      </c>
      <c r="B12" t="s">
        <v>130</v>
      </c>
      <c r="C12">
        <v>96</v>
      </c>
      <c r="D12" t="s">
        <v>372</v>
      </c>
      <c r="E12">
        <v>0.25</v>
      </c>
      <c r="F12" t="s">
        <v>432</v>
      </c>
      <c r="G12">
        <v>0</v>
      </c>
      <c r="H12" t="s">
        <v>432</v>
      </c>
    </row>
    <row r="13" spans="1:11" x14ac:dyDescent="0.3">
      <c r="A13">
        <v>12</v>
      </c>
      <c r="B13" t="s">
        <v>375</v>
      </c>
      <c r="C13">
        <v>50</v>
      </c>
      <c r="D13" t="s">
        <v>195</v>
      </c>
      <c r="E13">
        <v>0.5</v>
      </c>
      <c r="F13" t="s">
        <v>432</v>
      </c>
      <c r="G13">
        <v>0</v>
      </c>
      <c r="H13" t="s">
        <v>432</v>
      </c>
    </row>
    <row r="14" spans="1:11" x14ac:dyDescent="0.3">
      <c r="A14">
        <v>13</v>
      </c>
      <c r="B14" t="s">
        <v>360</v>
      </c>
      <c r="C14">
        <v>24</v>
      </c>
      <c r="D14" t="s">
        <v>372</v>
      </c>
      <c r="E14">
        <v>1</v>
      </c>
      <c r="F14" t="s">
        <v>432</v>
      </c>
      <c r="G14">
        <v>0</v>
      </c>
      <c r="H14" t="s">
        <v>368</v>
      </c>
    </row>
    <row r="15" spans="1:11" x14ac:dyDescent="0.3">
      <c r="A15">
        <v>14</v>
      </c>
      <c r="B15" t="s">
        <v>126</v>
      </c>
      <c r="C15">
        <v>20</v>
      </c>
      <c r="D15" t="s">
        <v>195</v>
      </c>
      <c r="E15">
        <v>1</v>
      </c>
      <c r="F15" t="s">
        <v>432</v>
      </c>
      <c r="G15">
        <v>0</v>
      </c>
      <c r="H15" t="s">
        <v>368</v>
      </c>
    </row>
    <row r="16" spans="1:11" x14ac:dyDescent="0.3">
      <c r="A16">
        <v>15</v>
      </c>
      <c r="B16" t="s">
        <v>361</v>
      </c>
      <c r="C16">
        <v>50</v>
      </c>
      <c r="D16" s="19" t="s">
        <v>195</v>
      </c>
      <c r="E16">
        <v>0.5</v>
      </c>
      <c r="F16" t="s">
        <v>432</v>
      </c>
      <c r="G16">
        <v>0</v>
      </c>
      <c r="H16" t="s">
        <v>368</v>
      </c>
    </row>
    <row r="17" spans="1:8" x14ac:dyDescent="0.3">
      <c r="A17">
        <v>16</v>
      </c>
      <c r="B17" t="s">
        <v>373</v>
      </c>
      <c r="C17">
        <v>100</v>
      </c>
      <c r="D17" t="s">
        <v>374</v>
      </c>
      <c r="E17">
        <v>0.1</v>
      </c>
      <c r="F17" t="s">
        <v>432</v>
      </c>
      <c r="G17">
        <v>0</v>
      </c>
      <c r="H17" t="s">
        <v>432</v>
      </c>
    </row>
    <row r="18" spans="1:8" x14ac:dyDescent="0.3">
      <c r="A18">
        <v>17</v>
      </c>
      <c r="B18" t="s">
        <v>365</v>
      </c>
      <c r="C18">
        <v>100</v>
      </c>
      <c r="D18" t="s">
        <v>125</v>
      </c>
      <c r="E18">
        <v>0.1</v>
      </c>
      <c r="F18" t="s">
        <v>432</v>
      </c>
      <c r="G18">
        <v>0</v>
      </c>
      <c r="H18" t="s">
        <v>432</v>
      </c>
    </row>
    <row r="19" spans="1:8" x14ac:dyDescent="0.3">
      <c r="A19">
        <v>18</v>
      </c>
      <c r="B19" t="s">
        <v>366</v>
      </c>
      <c r="C19">
        <v>20</v>
      </c>
      <c r="D19" t="s">
        <v>125</v>
      </c>
      <c r="E19">
        <v>100</v>
      </c>
      <c r="F19" t="s">
        <v>368</v>
      </c>
      <c r="G19">
        <v>0</v>
      </c>
      <c r="H19" t="s">
        <v>432</v>
      </c>
    </row>
    <row r="20" spans="1:8" x14ac:dyDescent="0.3">
      <c r="A20">
        <v>19</v>
      </c>
      <c r="B20" t="s">
        <v>442</v>
      </c>
      <c r="C20">
        <v>50</v>
      </c>
      <c r="D20" t="s">
        <v>125</v>
      </c>
      <c r="E20">
        <v>100</v>
      </c>
      <c r="F20" t="s">
        <v>368</v>
      </c>
      <c r="G20">
        <v>0</v>
      </c>
      <c r="H20" t="s">
        <v>432</v>
      </c>
    </row>
    <row r="21" spans="1:8" x14ac:dyDescent="0.3">
      <c r="A21">
        <v>25</v>
      </c>
      <c r="B21" t="s">
        <v>412</v>
      </c>
      <c r="C21">
        <v>20</v>
      </c>
      <c r="D21" t="s">
        <v>125</v>
      </c>
      <c r="E21">
        <v>5</v>
      </c>
      <c r="F21" t="s">
        <v>432</v>
      </c>
      <c r="G21">
        <v>0</v>
      </c>
      <c r="H21" t="s">
        <v>368</v>
      </c>
    </row>
    <row r="22" spans="1:8" x14ac:dyDescent="0.3">
      <c r="A22">
        <v>26</v>
      </c>
      <c r="B22" t="s">
        <v>413</v>
      </c>
      <c r="C22">
        <v>20</v>
      </c>
      <c r="D22" t="s">
        <v>195</v>
      </c>
      <c r="E22">
        <v>0.5</v>
      </c>
      <c r="F22" t="s">
        <v>432</v>
      </c>
      <c r="G22">
        <v>0</v>
      </c>
      <c r="H22" t="s">
        <v>368</v>
      </c>
    </row>
    <row r="23" spans="1:8" x14ac:dyDescent="0.3">
      <c r="A23">
        <v>27</v>
      </c>
      <c r="B23" t="s">
        <v>414</v>
      </c>
      <c r="C23">
        <v>20</v>
      </c>
      <c r="D23" t="s">
        <v>195</v>
      </c>
      <c r="E23">
        <v>0.5</v>
      </c>
      <c r="F23" t="s">
        <v>432</v>
      </c>
      <c r="G23">
        <v>0</v>
      </c>
      <c r="H23" t="s">
        <v>368</v>
      </c>
    </row>
    <row r="24" spans="1:8" x14ac:dyDescent="0.3">
      <c r="A24">
        <v>28</v>
      </c>
      <c r="B24" t="s">
        <v>443</v>
      </c>
      <c r="C24">
        <v>20</v>
      </c>
      <c r="D24" t="s">
        <v>371</v>
      </c>
      <c r="E24">
        <v>5</v>
      </c>
      <c r="F24" t="s">
        <v>432</v>
      </c>
      <c r="G24">
        <v>0</v>
      </c>
      <c r="H24" t="s">
        <v>368</v>
      </c>
    </row>
    <row r="44" spans="11:15" x14ac:dyDescent="0.3">
      <c r="K44" s="19" t="s">
        <v>463</v>
      </c>
    </row>
    <row r="45" spans="11:15" x14ac:dyDescent="0.3">
      <c r="K45" t="s">
        <v>464</v>
      </c>
      <c r="L45" t="s">
        <v>465</v>
      </c>
      <c r="M45" t="s">
        <v>466</v>
      </c>
      <c r="N45" t="s">
        <v>467</v>
      </c>
    </row>
    <row r="46" spans="11:15" x14ac:dyDescent="0.3">
      <c r="K46">
        <v>4</v>
      </c>
      <c r="L46" s="25">
        <v>15</v>
      </c>
      <c r="M46">
        <v>1008</v>
      </c>
      <c r="N46" s="25">
        <v>15120</v>
      </c>
    </row>
    <row r="48" spans="11:15" x14ac:dyDescent="0.3">
      <c r="K48" s="19" t="s">
        <v>468</v>
      </c>
      <c r="N48" s="25">
        <v>15120</v>
      </c>
      <c r="O48" s="34">
        <v>1.9535</v>
      </c>
    </row>
    <row r="50" spans="11:15" x14ac:dyDescent="0.3">
      <c r="K50" s="19" t="s">
        <v>469</v>
      </c>
      <c r="N50" s="25">
        <v>17108.75</v>
      </c>
      <c r="O50" s="34">
        <v>2.2103999999999999</v>
      </c>
    </row>
    <row r="52" spans="11:15" x14ac:dyDescent="0.3">
      <c r="K52" s="19" t="s">
        <v>470</v>
      </c>
      <c r="N52" s="25">
        <v>-9368.75</v>
      </c>
      <c r="O52" s="34">
        <v>-1.2103999999999999</v>
      </c>
    </row>
    <row r="54" spans="11:15" x14ac:dyDescent="0.3">
      <c r="K54" s="19" t="s">
        <v>471</v>
      </c>
    </row>
    <row r="56" spans="11:15" x14ac:dyDescent="0.3">
      <c r="K56" t="s">
        <v>472</v>
      </c>
      <c r="N56" s="25">
        <v>59.13</v>
      </c>
    </row>
    <row r="57" spans="11:15" x14ac:dyDescent="0.3">
      <c r="K57" t="s">
        <v>473</v>
      </c>
      <c r="N57" s="25">
        <v>6250</v>
      </c>
    </row>
    <row r="58" spans="11:15" x14ac:dyDescent="0.3">
      <c r="K58" t="s">
        <v>474</v>
      </c>
      <c r="N58" s="25">
        <v>1000</v>
      </c>
    </row>
    <row r="59" spans="11:15" x14ac:dyDescent="0.3">
      <c r="K59" t="s">
        <v>18</v>
      </c>
      <c r="N59" s="25">
        <v>1000</v>
      </c>
    </row>
    <row r="60" spans="11:15" x14ac:dyDescent="0.3">
      <c r="K60" t="s">
        <v>475</v>
      </c>
      <c r="N60" s="25">
        <v>500</v>
      </c>
    </row>
    <row r="61" spans="11:15" x14ac:dyDescent="0.3">
      <c r="K61" t="s">
        <v>476</v>
      </c>
      <c r="N61" s="25">
        <v>1000</v>
      </c>
    </row>
    <row r="65" spans="11:15" x14ac:dyDescent="0.3">
      <c r="K65" s="19" t="s">
        <v>477</v>
      </c>
      <c r="N65" s="25">
        <v>9809.1299999999992</v>
      </c>
      <c r="O65" s="34">
        <v>1.2673000000000001</v>
      </c>
    </row>
    <row r="69" spans="11:15" x14ac:dyDescent="0.3">
      <c r="K69" s="19" t="s">
        <v>478</v>
      </c>
      <c r="N69" s="25">
        <v>-19177.88</v>
      </c>
      <c r="O69" s="34">
        <v>-2.4777999999999998</v>
      </c>
    </row>
    <row r="71" spans="11:15" x14ac:dyDescent="0.3">
      <c r="K71" s="19" t="s">
        <v>479</v>
      </c>
      <c r="N71" s="25">
        <v>-16363.38</v>
      </c>
    </row>
    <row r="73" spans="11:15" x14ac:dyDescent="0.3">
      <c r="K73" s="19" t="s">
        <v>480</v>
      </c>
      <c r="N73" s="25">
        <v>-19177.88</v>
      </c>
    </row>
    <row r="80" spans="11:15" x14ac:dyDescent="0.3">
      <c r="K80" s="19" t="s">
        <v>481</v>
      </c>
    </row>
    <row r="81" spans="11:14" x14ac:dyDescent="0.3">
      <c r="K81" s="19" t="s">
        <v>482</v>
      </c>
    </row>
    <row r="82" spans="11:14" x14ac:dyDescent="0.3">
      <c r="K82" t="s">
        <v>483</v>
      </c>
      <c r="N82" s="25">
        <v>66822.13</v>
      </c>
    </row>
    <row r="84" spans="11:14" x14ac:dyDescent="0.3">
      <c r="K84" t="s">
        <v>454</v>
      </c>
      <c r="N84" s="25">
        <v>5913</v>
      </c>
    </row>
    <row r="86" spans="11:14" x14ac:dyDescent="0.3">
      <c r="K86" t="s">
        <v>484</v>
      </c>
      <c r="N86" s="25">
        <v>28000</v>
      </c>
    </row>
    <row r="90" spans="11:14" x14ac:dyDescent="0.3">
      <c r="K90" s="19" t="s">
        <v>485</v>
      </c>
    </row>
    <row r="93" spans="11:14" x14ac:dyDescent="0.3">
      <c r="K93" s="19" t="s">
        <v>486</v>
      </c>
    </row>
    <row r="95" spans="11:14" x14ac:dyDescent="0.3">
      <c r="K95" s="19" t="s">
        <v>453</v>
      </c>
      <c r="N95" s="38">
        <v>3554.85</v>
      </c>
    </row>
    <row r="96" spans="11:14" x14ac:dyDescent="0.3">
      <c r="K96" s="19" t="s">
        <v>454</v>
      </c>
      <c r="N96" s="38">
        <v>9467.85</v>
      </c>
    </row>
    <row r="97" spans="11:14" x14ac:dyDescent="0.3">
      <c r="K97" t="s">
        <v>454</v>
      </c>
      <c r="N97" s="25">
        <v>11790.89</v>
      </c>
    </row>
    <row r="99" spans="11:14" x14ac:dyDescent="0.3">
      <c r="K99" t="s">
        <v>455</v>
      </c>
      <c r="N99" s="25">
        <v>-19177.88</v>
      </c>
    </row>
    <row r="100" spans="11:14" x14ac:dyDescent="0.3">
      <c r="K100" s="19" t="s">
        <v>456</v>
      </c>
      <c r="N100" s="25">
        <v>103</v>
      </c>
    </row>
    <row r="101" spans="11:14" x14ac:dyDescent="0.3">
      <c r="K101" s="19" t="s">
        <v>457</v>
      </c>
      <c r="N101">
        <v>0</v>
      </c>
    </row>
    <row r="102" spans="11:14" x14ac:dyDescent="0.3">
      <c r="K102" s="19" t="s">
        <v>458</v>
      </c>
      <c r="N102">
        <v>0</v>
      </c>
    </row>
    <row r="103" spans="11:14" x14ac:dyDescent="0.3">
      <c r="K103" s="19" t="s">
        <v>458</v>
      </c>
      <c r="N103">
        <v>0</v>
      </c>
    </row>
    <row r="105" spans="11:14" x14ac:dyDescent="0.3">
      <c r="K105" t="s">
        <v>459</v>
      </c>
    </row>
    <row r="106" spans="11:14" x14ac:dyDescent="0.3">
      <c r="K106" t="s">
        <v>459</v>
      </c>
    </row>
    <row r="107" spans="11:14" x14ac:dyDescent="0.3">
      <c r="K107" t="s">
        <v>487</v>
      </c>
    </row>
    <row r="108" spans="11:14" x14ac:dyDescent="0.3">
      <c r="K108" t="s">
        <v>488</v>
      </c>
    </row>
    <row r="109" spans="11:14" x14ac:dyDescent="0.3">
      <c r="K109" t="s">
        <v>459</v>
      </c>
    </row>
    <row r="110" spans="11:14" x14ac:dyDescent="0.3">
      <c r="K110" t="s">
        <v>460</v>
      </c>
    </row>
    <row r="111" spans="11:14" x14ac:dyDescent="0.3">
      <c r="K111" t="s">
        <v>461</v>
      </c>
    </row>
    <row r="112" spans="11:14" x14ac:dyDescent="0.3">
      <c r="K112" t="s">
        <v>462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C2:R45"/>
  <sheetViews>
    <sheetView topLeftCell="A4" workbookViewId="0">
      <selection activeCell="I4" sqref="I4"/>
    </sheetView>
  </sheetViews>
  <sheetFormatPr defaultRowHeight="14.4" x14ac:dyDescent="0.3"/>
  <cols>
    <col min="3" max="3" width="9.6640625" bestFit="1" customWidth="1"/>
    <col min="4" max="4" width="25" bestFit="1" customWidth="1"/>
    <col min="6" max="6" width="13.6640625" bestFit="1" customWidth="1"/>
    <col min="7" max="7" width="17" bestFit="1" customWidth="1"/>
    <col min="8" max="8" width="18.6640625" bestFit="1" customWidth="1"/>
    <col min="9" max="9" width="18.33203125" bestFit="1" customWidth="1"/>
    <col min="10" max="10" width="20.5546875" bestFit="1" customWidth="1"/>
    <col min="11" max="11" width="22" bestFit="1" customWidth="1"/>
  </cols>
  <sheetData>
    <row r="2" spans="3:18" x14ac:dyDescent="0.3">
      <c r="E2" t="s">
        <v>296</v>
      </c>
    </row>
    <row r="3" spans="3:18" x14ac:dyDescent="0.3">
      <c r="C3" t="s">
        <v>207</v>
      </c>
      <c r="E3" t="s">
        <v>242</v>
      </c>
      <c r="I3">
        <f>30000/12</f>
        <v>2500</v>
      </c>
    </row>
    <row r="4" spans="3:18" x14ac:dyDescent="0.3">
      <c r="E4" t="s">
        <v>292</v>
      </c>
    </row>
    <row r="5" spans="3:18" x14ac:dyDescent="0.3">
      <c r="E5" t="s">
        <v>297</v>
      </c>
    </row>
    <row r="6" spans="3:18" x14ac:dyDescent="0.3">
      <c r="E6" t="s">
        <v>298</v>
      </c>
    </row>
    <row r="8" spans="3:18" x14ac:dyDescent="0.3">
      <c r="C8" t="s">
        <v>206</v>
      </c>
      <c r="D8" t="s">
        <v>8</v>
      </c>
      <c r="E8" s="17" t="s">
        <v>163</v>
      </c>
      <c r="F8" s="17" t="s">
        <v>164</v>
      </c>
      <c r="G8" s="17" t="s">
        <v>165</v>
      </c>
      <c r="H8" s="17" t="s">
        <v>166</v>
      </c>
      <c r="I8">
        <v>200</v>
      </c>
    </row>
    <row r="9" spans="3:18" x14ac:dyDescent="0.3">
      <c r="D9" t="s">
        <v>21</v>
      </c>
    </row>
    <row r="10" spans="3:18" x14ac:dyDescent="0.3">
      <c r="D10" t="s">
        <v>22</v>
      </c>
    </row>
    <row r="11" spans="3:18" x14ac:dyDescent="0.3">
      <c r="D11" t="s">
        <v>23</v>
      </c>
    </row>
    <row r="12" spans="3:18" x14ac:dyDescent="0.3">
      <c r="D12" t="s">
        <v>32</v>
      </c>
      <c r="E12">
        <v>2</v>
      </c>
      <c r="F12">
        <v>3</v>
      </c>
      <c r="G12">
        <v>4</v>
      </c>
      <c r="H12">
        <v>6</v>
      </c>
      <c r="I12">
        <v>8</v>
      </c>
      <c r="R12" t="s">
        <v>32</v>
      </c>
    </row>
    <row r="13" spans="3:18" x14ac:dyDescent="0.3">
      <c r="D13" t="s">
        <v>176</v>
      </c>
      <c r="R13" s="17" t="s">
        <v>318</v>
      </c>
    </row>
    <row r="14" spans="3:18" x14ac:dyDescent="0.3">
      <c r="D14" t="s">
        <v>205</v>
      </c>
    </row>
    <row r="16" spans="3:18" x14ac:dyDescent="0.3">
      <c r="C16" s="33" t="s">
        <v>206</v>
      </c>
      <c r="D16" t="s">
        <v>8</v>
      </c>
      <c r="E16" t="s">
        <v>305</v>
      </c>
      <c r="F16" s="17" t="s">
        <v>387</v>
      </c>
      <c r="G16" s="17" t="s">
        <v>388</v>
      </c>
      <c r="H16" s="17" t="s">
        <v>386</v>
      </c>
      <c r="I16" s="17" t="s">
        <v>389</v>
      </c>
      <c r="J16" s="17" t="s">
        <v>390</v>
      </c>
      <c r="K16" t="s">
        <v>299</v>
      </c>
    </row>
    <row r="17" spans="3:12" x14ac:dyDescent="0.3">
      <c r="D17" t="s">
        <v>32</v>
      </c>
      <c r="E17">
        <v>1</v>
      </c>
      <c r="F17">
        <v>2</v>
      </c>
      <c r="G17">
        <v>3</v>
      </c>
      <c r="H17">
        <v>4</v>
      </c>
      <c r="I17">
        <v>8</v>
      </c>
      <c r="K17">
        <v>0</v>
      </c>
      <c r="L17" t="s">
        <v>295</v>
      </c>
    </row>
    <row r="18" spans="3:12" x14ac:dyDescent="0.3">
      <c r="D18" t="s">
        <v>329</v>
      </c>
      <c r="E18">
        <v>1</v>
      </c>
      <c r="F18">
        <v>2</v>
      </c>
      <c r="G18">
        <v>3</v>
      </c>
      <c r="H18">
        <v>4</v>
      </c>
      <c r="I18">
        <v>8</v>
      </c>
    </row>
    <row r="19" spans="3:12" x14ac:dyDescent="0.3">
      <c r="D19" t="s">
        <v>319</v>
      </c>
      <c r="E19">
        <v>2</v>
      </c>
      <c r="F19">
        <v>3</v>
      </c>
      <c r="G19">
        <v>5</v>
      </c>
      <c r="H19">
        <v>10</v>
      </c>
      <c r="I19">
        <v>12</v>
      </c>
    </row>
    <row r="20" spans="3:12" x14ac:dyDescent="0.3">
      <c r="D20" t="s">
        <v>291</v>
      </c>
      <c r="E20">
        <v>2</v>
      </c>
      <c r="F20">
        <v>6</v>
      </c>
      <c r="G20">
        <v>8</v>
      </c>
      <c r="H20">
        <v>10</v>
      </c>
      <c r="I20">
        <v>12</v>
      </c>
      <c r="L20" t="s">
        <v>293</v>
      </c>
    </row>
    <row r="21" spans="3:12" x14ac:dyDescent="0.3">
      <c r="D21" t="s">
        <v>197</v>
      </c>
      <c r="E21">
        <v>2</v>
      </c>
      <c r="F21">
        <v>6</v>
      </c>
      <c r="G21">
        <v>8</v>
      </c>
      <c r="H21">
        <v>10</v>
      </c>
      <c r="I21">
        <v>12</v>
      </c>
      <c r="L21" t="s">
        <v>293</v>
      </c>
    </row>
    <row r="22" spans="3:12" x14ac:dyDescent="0.3">
      <c r="D22" t="s">
        <v>325</v>
      </c>
      <c r="E22">
        <v>10</v>
      </c>
      <c r="F22">
        <v>10</v>
      </c>
      <c r="G22">
        <v>10</v>
      </c>
      <c r="H22">
        <v>10</v>
      </c>
      <c r="I22">
        <v>10</v>
      </c>
    </row>
    <row r="23" spans="3:12" x14ac:dyDescent="0.3">
      <c r="D23" t="s">
        <v>326</v>
      </c>
      <c r="E23">
        <v>10</v>
      </c>
      <c r="F23">
        <v>10</v>
      </c>
      <c r="G23">
        <v>10</v>
      </c>
      <c r="H23">
        <v>10</v>
      </c>
      <c r="I23">
        <v>10</v>
      </c>
      <c r="L23" t="s">
        <v>294</v>
      </c>
    </row>
    <row r="24" spans="3:12" x14ac:dyDescent="0.3">
      <c r="D24" t="s">
        <v>23</v>
      </c>
      <c r="E24">
        <v>2</v>
      </c>
      <c r="F24">
        <v>4</v>
      </c>
      <c r="G24">
        <v>7</v>
      </c>
      <c r="H24">
        <v>10</v>
      </c>
      <c r="I24">
        <v>12</v>
      </c>
    </row>
    <row r="25" spans="3:12" x14ac:dyDescent="0.3">
      <c r="D25" t="s">
        <v>176</v>
      </c>
      <c r="E25">
        <v>2</v>
      </c>
      <c r="F25">
        <v>4</v>
      </c>
      <c r="G25">
        <v>7</v>
      </c>
      <c r="H25">
        <v>10</v>
      </c>
      <c r="I25">
        <v>12</v>
      </c>
    </row>
    <row r="26" spans="3:12" x14ac:dyDescent="0.3">
      <c r="D26" t="s">
        <v>177</v>
      </c>
      <c r="E26">
        <v>5</v>
      </c>
      <c r="F26">
        <v>8</v>
      </c>
      <c r="G26">
        <v>10</v>
      </c>
      <c r="H26">
        <v>13</v>
      </c>
      <c r="I26">
        <v>16</v>
      </c>
      <c r="L26" t="s">
        <v>293</v>
      </c>
    </row>
    <row r="27" spans="3:12" x14ac:dyDescent="0.3">
      <c r="D27" t="s">
        <v>25</v>
      </c>
      <c r="E27">
        <v>5</v>
      </c>
      <c r="F27">
        <v>8</v>
      </c>
      <c r="G27">
        <v>12</v>
      </c>
      <c r="H27">
        <v>16</v>
      </c>
      <c r="I27">
        <v>24</v>
      </c>
    </row>
    <row r="28" spans="3:12" x14ac:dyDescent="0.3">
      <c r="D28" t="s">
        <v>178</v>
      </c>
      <c r="E28">
        <v>5</v>
      </c>
      <c r="F28">
        <v>8</v>
      </c>
      <c r="G28">
        <v>12</v>
      </c>
      <c r="H28">
        <v>16</v>
      </c>
      <c r="I28">
        <v>24</v>
      </c>
    </row>
    <row r="31" spans="3:12" x14ac:dyDescent="0.3">
      <c r="C31" t="s">
        <v>1</v>
      </c>
      <c r="D31" t="s">
        <v>8</v>
      </c>
      <c r="E31" t="s">
        <v>162</v>
      </c>
      <c r="F31" s="17" t="s">
        <v>163</v>
      </c>
      <c r="G31" s="17" t="s">
        <v>164</v>
      </c>
      <c r="H31" s="17" t="s">
        <v>165</v>
      </c>
      <c r="I31" s="17" t="s">
        <v>166</v>
      </c>
      <c r="J31">
        <v>200</v>
      </c>
    </row>
    <row r="32" spans="3:12" x14ac:dyDescent="0.3">
      <c r="D32" t="s">
        <v>21</v>
      </c>
      <c r="E32" t="s">
        <v>148</v>
      </c>
    </row>
    <row r="33" spans="3:5" x14ac:dyDescent="0.3">
      <c r="D33" t="s">
        <v>21</v>
      </c>
      <c r="E33" t="s">
        <v>153</v>
      </c>
    </row>
    <row r="34" spans="3:5" x14ac:dyDescent="0.3">
      <c r="D34" t="s">
        <v>22</v>
      </c>
      <c r="E34" t="s">
        <v>148</v>
      </c>
    </row>
    <row r="35" spans="3:5" x14ac:dyDescent="0.3">
      <c r="D35" t="s">
        <v>22</v>
      </c>
      <c r="E35" t="s">
        <v>153</v>
      </c>
    </row>
    <row r="36" spans="3:5" x14ac:dyDescent="0.3">
      <c r="D36" t="s">
        <v>23</v>
      </c>
      <c r="E36" t="s">
        <v>148</v>
      </c>
    </row>
    <row r="37" spans="3:5" x14ac:dyDescent="0.3">
      <c r="D37" t="s">
        <v>23</v>
      </c>
      <c r="E37" t="s">
        <v>153</v>
      </c>
    </row>
    <row r="38" spans="3:5" x14ac:dyDescent="0.3">
      <c r="D38" t="s">
        <v>32</v>
      </c>
      <c r="E38" t="s">
        <v>148</v>
      </c>
    </row>
    <row r="39" spans="3:5" x14ac:dyDescent="0.3">
      <c r="D39" t="s">
        <v>32</v>
      </c>
      <c r="E39" t="s">
        <v>153</v>
      </c>
    </row>
    <row r="40" spans="3:5" x14ac:dyDescent="0.3">
      <c r="D40" t="s">
        <v>176</v>
      </c>
      <c r="E40" t="s">
        <v>148</v>
      </c>
    </row>
    <row r="41" spans="3:5" x14ac:dyDescent="0.3">
      <c r="D41" t="s">
        <v>176</v>
      </c>
      <c r="E41" t="s">
        <v>153</v>
      </c>
    </row>
    <row r="42" spans="3:5" x14ac:dyDescent="0.3">
      <c r="D42" t="s">
        <v>205</v>
      </c>
      <c r="E42" t="s">
        <v>148</v>
      </c>
    </row>
    <row r="43" spans="3:5" x14ac:dyDescent="0.3">
      <c r="D43" t="s">
        <v>205</v>
      </c>
      <c r="E43" t="s">
        <v>153</v>
      </c>
    </row>
    <row r="45" spans="3:5" x14ac:dyDescent="0.3">
      <c r="C45" t="s">
        <v>252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C2:N20"/>
  <sheetViews>
    <sheetView topLeftCell="C1" zoomScale="90" zoomScaleNormal="90" workbookViewId="0">
      <selection activeCell="C5" sqref="C5:L20"/>
    </sheetView>
  </sheetViews>
  <sheetFormatPr defaultRowHeight="14.4" x14ac:dyDescent="0.3"/>
  <cols>
    <col min="4" max="4" width="19.5546875" bestFit="1" customWidth="1"/>
    <col min="5" max="5" width="24.44140625" bestFit="1" customWidth="1"/>
    <col min="6" max="6" width="84.33203125" bestFit="1" customWidth="1"/>
    <col min="7" max="7" width="19.5546875" customWidth="1"/>
    <col min="8" max="8" width="11.109375" bestFit="1" customWidth="1"/>
    <col min="9" max="9" width="20.33203125" style="3" bestFit="1" customWidth="1"/>
    <col min="10" max="10" width="16.5546875" style="15" customWidth="1"/>
    <col min="11" max="11" width="18.6640625" bestFit="1" customWidth="1"/>
  </cols>
  <sheetData>
    <row r="2" spans="3:14" x14ac:dyDescent="0.3">
      <c r="L2" s="19" t="s">
        <v>248</v>
      </c>
      <c r="M2" s="19"/>
    </row>
    <row r="3" spans="3:14" x14ac:dyDescent="0.3">
      <c r="D3" s="19"/>
      <c r="E3" s="19"/>
      <c r="F3" s="19"/>
      <c r="G3" s="19"/>
      <c r="H3" s="19" t="s">
        <v>41</v>
      </c>
      <c r="I3" s="20" t="s">
        <v>245</v>
      </c>
      <c r="J3" s="35" t="s">
        <v>249</v>
      </c>
      <c r="K3" s="19" t="s">
        <v>247</v>
      </c>
      <c r="L3" s="19" t="s">
        <v>428</v>
      </c>
      <c r="M3" s="19"/>
      <c r="N3" s="19" t="s">
        <v>250</v>
      </c>
    </row>
    <row r="4" spans="3:14" x14ac:dyDescent="0.3">
      <c r="C4" s="19" t="s">
        <v>427</v>
      </c>
      <c r="D4" s="19" t="s">
        <v>209</v>
      </c>
      <c r="E4" s="19" t="s">
        <v>210</v>
      </c>
      <c r="F4" s="19" t="s">
        <v>129</v>
      </c>
      <c r="G4" s="19" t="s">
        <v>393</v>
      </c>
      <c r="H4" s="19" t="s">
        <v>44</v>
      </c>
      <c r="I4" s="20" t="s">
        <v>240</v>
      </c>
      <c r="J4" s="35" t="s">
        <v>246</v>
      </c>
      <c r="K4" s="19" t="s">
        <v>246</v>
      </c>
      <c r="L4" s="19" t="s">
        <v>429</v>
      </c>
      <c r="M4" s="19" t="s">
        <v>441</v>
      </c>
      <c r="N4" s="19" t="s">
        <v>251</v>
      </c>
    </row>
    <row r="5" spans="3:14" x14ac:dyDescent="0.3">
      <c r="C5">
        <v>2</v>
      </c>
      <c r="D5" t="s">
        <v>227</v>
      </c>
      <c r="E5" t="s">
        <v>228</v>
      </c>
      <c r="F5" t="s">
        <v>229</v>
      </c>
      <c r="G5" t="s">
        <v>392</v>
      </c>
      <c r="H5" s="18">
        <v>200</v>
      </c>
      <c r="I5" s="3">
        <v>5</v>
      </c>
      <c r="J5" s="15">
        <v>0</v>
      </c>
      <c r="K5" s="2">
        <v>0.05</v>
      </c>
      <c r="L5" s="19" t="s">
        <v>432</v>
      </c>
      <c r="M5" s="19">
        <v>3</v>
      </c>
    </row>
    <row r="6" spans="3:14" x14ac:dyDescent="0.3">
      <c r="C6">
        <v>3</v>
      </c>
      <c r="D6" t="s">
        <v>227</v>
      </c>
      <c r="E6" t="s">
        <v>230</v>
      </c>
      <c r="F6" t="s">
        <v>230</v>
      </c>
      <c r="G6" t="s">
        <v>394</v>
      </c>
      <c r="H6" s="18">
        <v>200</v>
      </c>
      <c r="I6" s="3">
        <v>5</v>
      </c>
      <c r="J6" s="15">
        <v>0</v>
      </c>
      <c r="K6" s="2">
        <v>0.05</v>
      </c>
      <c r="L6" s="19" t="s">
        <v>432</v>
      </c>
      <c r="M6" s="19">
        <v>3</v>
      </c>
    </row>
    <row r="7" spans="3:14" x14ac:dyDescent="0.3">
      <c r="C7">
        <v>4</v>
      </c>
      <c r="D7" t="s">
        <v>227</v>
      </c>
      <c r="E7" t="s">
        <v>241</v>
      </c>
      <c r="F7" t="s">
        <v>241</v>
      </c>
      <c r="G7" t="s">
        <v>392</v>
      </c>
      <c r="H7" s="18">
        <v>100</v>
      </c>
      <c r="I7" s="3">
        <v>10</v>
      </c>
      <c r="J7" s="15">
        <v>0</v>
      </c>
      <c r="K7" s="2">
        <v>0.1</v>
      </c>
      <c r="L7" s="19" t="s">
        <v>432</v>
      </c>
      <c r="M7" s="19">
        <v>3</v>
      </c>
    </row>
    <row r="8" spans="3:14" x14ac:dyDescent="0.3">
      <c r="C8">
        <v>9</v>
      </c>
      <c r="D8" t="s">
        <v>227</v>
      </c>
      <c r="E8" t="s">
        <v>231</v>
      </c>
      <c r="F8" t="s">
        <v>212</v>
      </c>
      <c r="G8" t="s">
        <v>392</v>
      </c>
      <c r="H8" s="18">
        <v>100</v>
      </c>
      <c r="I8" s="3">
        <v>0</v>
      </c>
      <c r="J8" s="15">
        <v>0</v>
      </c>
      <c r="K8" s="2">
        <v>0.01</v>
      </c>
      <c r="L8" s="19" t="s">
        <v>432</v>
      </c>
      <c r="M8" s="19">
        <v>3</v>
      </c>
    </row>
    <row r="9" spans="3:14" x14ac:dyDescent="0.3">
      <c r="C9">
        <v>10</v>
      </c>
      <c r="D9" t="s">
        <v>227</v>
      </c>
      <c r="E9" t="s">
        <v>238</v>
      </c>
      <c r="F9" t="s">
        <v>239</v>
      </c>
      <c r="G9" t="s">
        <v>392</v>
      </c>
      <c r="H9" s="18">
        <v>100</v>
      </c>
      <c r="I9" s="3">
        <v>5</v>
      </c>
      <c r="J9" s="15">
        <v>0</v>
      </c>
      <c r="K9" s="2">
        <v>0.01</v>
      </c>
      <c r="L9" s="19" t="s">
        <v>432</v>
      </c>
      <c r="M9" s="19">
        <v>3</v>
      </c>
    </row>
    <row r="10" spans="3:14" x14ac:dyDescent="0.3">
      <c r="C10">
        <v>12</v>
      </c>
      <c r="D10" t="s">
        <v>213</v>
      </c>
      <c r="E10" t="s">
        <v>60</v>
      </c>
      <c r="F10" t="s">
        <v>214</v>
      </c>
      <c r="G10" t="s">
        <v>392</v>
      </c>
      <c r="H10" s="18">
        <v>100</v>
      </c>
      <c r="I10" s="3">
        <v>20</v>
      </c>
      <c r="J10" s="15">
        <v>0</v>
      </c>
      <c r="K10" s="2">
        <v>0.03</v>
      </c>
      <c r="L10" s="19" t="s">
        <v>432</v>
      </c>
      <c r="M10" s="19">
        <v>3</v>
      </c>
    </row>
    <row r="11" spans="3:14" x14ac:dyDescent="0.3">
      <c r="C11">
        <v>19</v>
      </c>
      <c r="D11" t="s">
        <v>217</v>
      </c>
      <c r="E11" t="s">
        <v>232</v>
      </c>
      <c r="F11" t="s">
        <v>218</v>
      </c>
      <c r="G11" t="s">
        <v>392</v>
      </c>
      <c r="H11" s="18">
        <v>5000</v>
      </c>
      <c r="I11" s="3">
        <v>0</v>
      </c>
      <c r="J11" s="15">
        <v>0</v>
      </c>
      <c r="K11" s="2">
        <v>0.05</v>
      </c>
      <c r="L11" s="19" t="s">
        <v>432</v>
      </c>
      <c r="M11" s="19">
        <v>3</v>
      </c>
    </row>
    <row r="12" spans="3:14" x14ac:dyDescent="0.3">
      <c r="C12">
        <v>20</v>
      </c>
      <c r="D12" t="s">
        <v>217</v>
      </c>
      <c r="E12" t="s">
        <v>59</v>
      </c>
      <c r="F12" t="s">
        <v>59</v>
      </c>
      <c r="G12" t="s">
        <v>392</v>
      </c>
      <c r="H12" s="18">
        <v>1000</v>
      </c>
      <c r="I12" s="3">
        <v>0</v>
      </c>
      <c r="J12" s="15">
        <v>0</v>
      </c>
      <c r="K12" s="2">
        <v>0.05</v>
      </c>
      <c r="L12" s="19" t="s">
        <v>432</v>
      </c>
      <c r="M12" s="19">
        <v>3</v>
      </c>
    </row>
    <row r="13" spans="3:14" x14ac:dyDescent="0.3">
      <c r="C13">
        <v>21</v>
      </c>
      <c r="D13" t="s">
        <v>217</v>
      </c>
      <c r="E13" t="s">
        <v>215</v>
      </c>
      <c r="F13" t="s">
        <v>215</v>
      </c>
      <c r="G13" t="s">
        <v>392</v>
      </c>
      <c r="H13" s="18">
        <v>0</v>
      </c>
      <c r="I13" s="3">
        <v>0</v>
      </c>
      <c r="J13" s="15">
        <v>0</v>
      </c>
      <c r="K13" s="2">
        <v>0.01</v>
      </c>
      <c r="L13" s="19" t="s">
        <v>432</v>
      </c>
      <c r="M13" s="19">
        <v>3</v>
      </c>
    </row>
    <row r="14" spans="3:14" x14ac:dyDescent="0.3">
      <c r="C14">
        <v>26</v>
      </c>
      <c r="D14" t="s">
        <v>219</v>
      </c>
      <c r="E14" t="s">
        <v>233</v>
      </c>
      <c r="F14" t="s">
        <v>220</v>
      </c>
      <c r="G14" t="s">
        <v>392</v>
      </c>
      <c r="H14" s="18">
        <v>100</v>
      </c>
      <c r="I14" s="3">
        <v>5</v>
      </c>
      <c r="J14" s="15">
        <v>0</v>
      </c>
      <c r="K14" s="2">
        <v>0</v>
      </c>
      <c r="L14" s="19" t="s">
        <v>432</v>
      </c>
      <c r="M14" s="19">
        <v>3</v>
      </c>
    </row>
    <row r="15" spans="3:14" x14ac:dyDescent="0.3">
      <c r="C15">
        <v>30</v>
      </c>
      <c r="D15" t="s">
        <v>216</v>
      </c>
      <c r="E15" t="s">
        <v>221</v>
      </c>
      <c r="F15" t="s">
        <v>221</v>
      </c>
      <c r="G15" t="s">
        <v>392</v>
      </c>
      <c r="H15" s="18">
        <v>1000</v>
      </c>
      <c r="I15" s="3">
        <v>0</v>
      </c>
      <c r="J15" s="15">
        <v>0</v>
      </c>
      <c r="K15" s="2">
        <v>0.05</v>
      </c>
      <c r="L15" s="19" t="s">
        <v>432</v>
      </c>
      <c r="M15" s="19">
        <v>3</v>
      </c>
    </row>
    <row r="16" spans="3:14" x14ac:dyDescent="0.3">
      <c r="C16">
        <v>31</v>
      </c>
      <c r="D16" t="s">
        <v>216</v>
      </c>
      <c r="E16" t="s">
        <v>490</v>
      </c>
      <c r="F16" t="s">
        <v>222</v>
      </c>
      <c r="G16" t="s">
        <v>392</v>
      </c>
      <c r="H16" s="18">
        <v>1000</v>
      </c>
      <c r="I16" s="3">
        <v>0</v>
      </c>
      <c r="J16" s="15">
        <v>0</v>
      </c>
      <c r="K16" s="2">
        <v>0.05</v>
      </c>
      <c r="L16" s="19" t="s">
        <v>432</v>
      </c>
      <c r="M16" s="19">
        <v>3</v>
      </c>
    </row>
    <row r="17" spans="3:13" x14ac:dyDescent="0.3">
      <c r="C17">
        <v>38</v>
      </c>
      <c r="D17" t="s">
        <v>223</v>
      </c>
      <c r="E17" t="s">
        <v>234</v>
      </c>
      <c r="F17" t="s">
        <v>224</v>
      </c>
      <c r="G17" t="s">
        <v>392</v>
      </c>
      <c r="H17" s="18">
        <v>1000</v>
      </c>
      <c r="I17" s="3">
        <v>20</v>
      </c>
      <c r="J17" s="15">
        <v>0</v>
      </c>
      <c r="K17" s="2">
        <v>0.05</v>
      </c>
      <c r="L17" s="19" t="s">
        <v>432</v>
      </c>
      <c r="M17" s="19">
        <v>3</v>
      </c>
    </row>
    <row r="18" spans="3:13" x14ac:dyDescent="0.3">
      <c r="C18">
        <v>39</v>
      </c>
      <c r="D18" t="s">
        <v>223</v>
      </c>
      <c r="E18" t="s">
        <v>235</v>
      </c>
      <c r="F18" t="s">
        <v>225</v>
      </c>
      <c r="G18" t="s">
        <v>392</v>
      </c>
      <c r="H18" s="18">
        <v>200</v>
      </c>
      <c r="I18" s="3">
        <v>10</v>
      </c>
      <c r="J18" s="15">
        <v>0</v>
      </c>
      <c r="K18" s="2">
        <v>0</v>
      </c>
      <c r="L18" s="19" t="s">
        <v>432</v>
      </c>
      <c r="M18" s="19">
        <v>3</v>
      </c>
    </row>
    <row r="19" spans="3:13" x14ac:dyDescent="0.3">
      <c r="C19">
        <v>40</v>
      </c>
      <c r="D19" t="s">
        <v>223</v>
      </c>
      <c r="E19" t="s">
        <v>226</v>
      </c>
      <c r="F19" t="s">
        <v>226</v>
      </c>
      <c r="G19" t="s">
        <v>392</v>
      </c>
      <c r="H19" s="18">
        <v>200</v>
      </c>
      <c r="I19" s="3">
        <v>10</v>
      </c>
      <c r="J19" s="15">
        <v>0</v>
      </c>
      <c r="K19" s="2">
        <v>0</v>
      </c>
      <c r="L19" s="19" t="s">
        <v>432</v>
      </c>
      <c r="M19" s="19">
        <v>3</v>
      </c>
    </row>
    <row r="20" spans="3:13" x14ac:dyDescent="0.3">
      <c r="C20">
        <v>41</v>
      </c>
      <c r="D20" t="s">
        <v>223</v>
      </c>
      <c r="E20" t="s">
        <v>236</v>
      </c>
      <c r="F20" t="s">
        <v>237</v>
      </c>
      <c r="G20" t="s">
        <v>392</v>
      </c>
      <c r="H20" s="18">
        <v>200</v>
      </c>
      <c r="I20" s="3">
        <v>20</v>
      </c>
      <c r="J20" s="15">
        <v>0</v>
      </c>
      <c r="K20" s="2">
        <v>0</v>
      </c>
      <c r="L20" s="19" t="s">
        <v>432</v>
      </c>
      <c r="M20" s="19">
        <v>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85582-B062-4F94-96A2-3E26AE9D59B8}">
  <sheetPr codeName="Sheet5"/>
  <dimension ref="D2:N27"/>
  <sheetViews>
    <sheetView topLeftCell="A7" workbookViewId="0">
      <selection activeCell="K19" sqref="K19"/>
    </sheetView>
  </sheetViews>
  <sheetFormatPr defaultRowHeight="14.4" x14ac:dyDescent="0.3"/>
  <cols>
    <col min="6" max="6" width="11.109375" bestFit="1" customWidth="1"/>
    <col min="7" max="7" width="21.109375" bestFit="1" customWidth="1"/>
    <col min="8" max="8" width="14" customWidth="1"/>
    <col min="10" max="10" width="13.6640625" bestFit="1" customWidth="1"/>
    <col min="11" max="11" width="17.6640625" bestFit="1" customWidth="1"/>
    <col min="12" max="12" width="11.109375" customWidth="1"/>
    <col min="13" max="13" width="11.44140625" bestFit="1" customWidth="1"/>
  </cols>
  <sheetData>
    <row r="2" spans="4:14" x14ac:dyDescent="0.3">
      <c r="E2" t="s">
        <v>338</v>
      </c>
    </row>
    <row r="3" spans="4:14" x14ac:dyDescent="0.3">
      <c r="J3" t="s">
        <v>441</v>
      </c>
      <c r="K3" t="s">
        <v>440</v>
      </c>
      <c r="L3" t="s">
        <v>336</v>
      </c>
      <c r="M3" t="s">
        <v>247</v>
      </c>
      <c r="N3" t="s">
        <v>41</v>
      </c>
    </row>
    <row r="4" spans="4:14" x14ac:dyDescent="0.3">
      <c r="D4" t="s">
        <v>337</v>
      </c>
      <c r="E4" t="s">
        <v>436</v>
      </c>
      <c r="F4" t="s">
        <v>437</v>
      </c>
      <c r="G4" t="s">
        <v>37</v>
      </c>
      <c r="H4" t="s">
        <v>431</v>
      </c>
      <c r="I4" t="s">
        <v>356</v>
      </c>
      <c r="J4" t="s">
        <v>339</v>
      </c>
      <c r="K4" t="s">
        <v>340</v>
      </c>
      <c r="L4" t="s">
        <v>246</v>
      </c>
      <c r="M4" t="s">
        <v>246</v>
      </c>
      <c r="N4" t="s">
        <v>357</v>
      </c>
    </row>
    <row r="5" spans="4:14" x14ac:dyDescent="0.3">
      <c r="E5">
        <v>1</v>
      </c>
      <c r="F5" t="s">
        <v>438</v>
      </c>
      <c r="G5" t="s">
        <v>341</v>
      </c>
      <c r="H5" t="s">
        <v>432</v>
      </c>
      <c r="J5">
        <v>12</v>
      </c>
      <c r="L5">
        <v>2</v>
      </c>
      <c r="M5">
        <v>3</v>
      </c>
      <c r="N5">
        <v>-5</v>
      </c>
    </row>
    <row r="6" spans="4:14" x14ac:dyDescent="0.3">
      <c r="E6">
        <v>2</v>
      </c>
      <c r="F6" t="s">
        <v>438</v>
      </c>
      <c r="G6" t="s">
        <v>430</v>
      </c>
      <c r="H6" t="s">
        <v>432</v>
      </c>
      <c r="L6">
        <v>2</v>
      </c>
      <c r="M6">
        <v>3</v>
      </c>
      <c r="N6">
        <v>-5</v>
      </c>
    </row>
    <row r="7" spans="4:14" x14ac:dyDescent="0.3">
      <c r="E7">
        <v>3</v>
      </c>
      <c r="F7" t="s">
        <v>439</v>
      </c>
      <c r="G7" t="s">
        <v>342</v>
      </c>
      <c r="H7" t="s">
        <v>432</v>
      </c>
      <c r="L7">
        <v>2</v>
      </c>
      <c r="M7">
        <v>3</v>
      </c>
      <c r="N7">
        <v>-5</v>
      </c>
    </row>
    <row r="8" spans="4:14" x14ac:dyDescent="0.3">
      <c r="E8">
        <v>4</v>
      </c>
      <c r="F8" t="s">
        <v>438</v>
      </c>
      <c r="G8" t="s">
        <v>211</v>
      </c>
      <c r="H8" t="s">
        <v>368</v>
      </c>
      <c r="L8">
        <v>2</v>
      </c>
      <c r="M8">
        <v>3</v>
      </c>
      <c r="N8">
        <v>-5</v>
      </c>
    </row>
    <row r="9" spans="4:14" x14ac:dyDescent="0.3">
      <c r="E9">
        <v>5</v>
      </c>
      <c r="F9" t="s">
        <v>439</v>
      </c>
      <c r="G9" t="s">
        <v>359</v>
      </c>
      <c r="H9" t="s">
        <v>368</v>
      </c>
      <c r="L9">
        <v>2</v>
      </c>
      <c r="M9">
        <v>3</v>
      </c>
      <c r="N9">
        <v>-5</v>
      </c>
    </row>
    <row r="10" spans="4:14" x14ac:dyDescent="0.3">
      <c r="E10">
        <v>6</v>
      </c>
      <c r="F10" t="s">
        <v>438</v>
      </c>
      <c r="G10" t="s">
        <v>343</v>
      </c>
      <c r="H10" t="s">
        <v>432</v>
      </c>
      <c r="L10">
        <v>2</v>
      </c>
      <c r="M10">
        <v>3</v>
      </c>
      <c r="N10">
        <v>-5</v>
      </c>
    </row>
    <row r="11" spans="4:14" x14ac:dyDescent="0.3">
      <c r="E11">
        <v>7</v>
      </c>
      <c r="F11" t="s">
        <v>438</v>
      </c>
      <c r="G11" t="s">
        <v>344</v>
      </c>
      <c r="H11" t="s">
        <v>368</v>
      </c>
      <c r="I11">
        <v>5000</v>
      </c>
      <c r="J11">
        <v>12</v>
      </c>
      <c r="K11">
        <v>0</v>
      </c>
      <c r="L11">
        <v>2</v>
      </c>
      <c r="M11">
        <v>3</v>
      </c>
      <c r="N11">
        <v>-5</v>
      </c>
    </row>
    <row r="12" spans="4:14" x14ac:dyDescent="0.3">
      <c r="E12">
        <v>8</v>
      </c>
      <c r="F12" t="s">
        <v>438</v>
      </c>
      <c r="G12" t="s">
        <v>345</v>
      </c>
      <c r="H12" t="s">
        <v>432</v>
      </c>
      <c r="I12" s="36">
        <v>50000</v>
      </c>
      <c r="L12">
        <v>2</v>
      </c>
      <c r="M12">
        <v>3</v>
      </c>
      <c r="N12">
        <v>-5</v>
      </c>
    </row>
    <row r="13" spans="4:14" x14ac:dyDescent="0.3">
      <c r="E13">
        <v>9</v>
      </c>
      <c r="F13" t="s">
        <v>439</v>
      </c>
      <c r="G13" t="s">
        <v>433</v>
      </c>
      <c r="H13" t="s">
        <v>368</v>
      </c>
      <c r="I13">
        <v>1000</v>
      </c>
      <c r="J13">
        <v>0</v>
      </c>
      <c r="K13">
        <v>120</v>
      </c>
      <c r="L13">
        <v>20</v>
      </c>
      <c r="M13">
        <v>20</v>
      </c>
      <c r="N13">
        <v>0</v>
      </c>
    </row>
    <row r="14" spans="4:14" x14ac:dyDescent="0.3">
      <c r="E14">
        <v>10</v>
      </c>
      <c r="F14" t="s">
        <v>439</v>
      </c>
      <c r="G14" t="s">
        <v>346</v>
      </c>
      <c r="H14" t="s">
        <v>368</v>
      </c>
      <c r="L14">
        <v>2</v>
      </c>
      <c r="M14">
        <v>3</v>
      </c>
      <c r="N14">
        <v>-5</v>
      </c>
    </row>
    <row r="15" spans="4:14" x14ac:dyDescent="0.3">
      <c r="E15">
        <v>11</v>
      </c>
      <c r="F15" t="s">
        <v>439</v>
      </c>
      <c r="G15" t="s">
        <v>347</v>
      </c>
      <c r="H15" t="s">
        <v>432</v>
      </c>
      <c r="L15">
        <v>2</v>
      </c>
      <c r="M15">
        <v>3</v>
      </c>
      <c r="N15">
        <v>-5</v>
      </c>
    </row>
    <row r="16" spans="4:14" x14ac:dyDescent="0.3">
      <c r="E16">
        <v>12</v>
      </c>
      <c r="F16" t="s">
        <v>439</v>
      </c>
      <c r="G16" t="s">
        <v>348</v>
      </c>
      <c r="H16" t="s">
        <v>432</v>
      </c>
      <c r="L16">
        <v>2</v>
      </c>
      <c r="M16">
        <v>3</v>
      </c>
      <c r="N16">
        <v>-5</v>
      </c>
    </row>
    <row r="17" spans="5:14" x14ac:dyDescent="0.3">
      <c r="E17">
        <v>13</v>
      </c>
      <c r="F17" t="s">
        <v>439</v>
      </c>
      <c r="G17" t="s">
        <v>545</v>
      </c>
      <c r="H17" t="s">
        <v>432</v>
      </c>
      <c r="L17">
        <v>2</v>
      </c>
      <c r="M17">
        <v>3</v>
      </c>
      <c r="N17">
        <v>-5</v>
      </c>
    </row>
    <row r="18" spans="5:14" x14ac:dyDescent="0.3">
      <c r="E18">
        <v>14</v>
      </c>
      <c r="F18" t="s">
        <v>439</v>
      </c>
      <c r="G18" t="s">
        <v>434</v>
      </c>
      <c r="H18" t="s">
        <v>432</v>
      </c>
      <c r="I18">
        <v>500</v>
      </c>
      <c r="J18">
        <v>0</v>
      </c>
      <c r="K18">
        <v>120</v>
      </c>
      <c r="L18">
        <v>2</v>
      </c>
      <c r="M18">
        <v>3</v>
      </c>
      <c r="N18">
        <v>-5</v>
      </c>
    </row>
    <row r="19" spans="5:14" x14ac:dyDescent="0.3">
      <c r="E19">
        <v>15</v>
      </c>
      <c r="F19" t="s">
        <v>439</v>
      </c>
      <c r="G19" t="s">
        <v>349</v>
      </c>
      <c r="H19" t="s">
        <v>432</v>
      </c>
      <c r="I19">
        <v>5000</v>
      </c>
      <c r="J19">
        <v>3</v>
      </c>
      <c r="L19">
        <v>2</v>
      </c>
      <c r="M19">
        <v>3</v>
      </c>
      <c r="N19">
        <v>-5</v>
      </c>
    </row>
    <row r="20" spans="5:14" x14ac:dyDescent="0.3">
      <c r="E20">
        <v>16</v>
      </c>
      <c r="F20" t="s">
        <v>439</v>
      </c>
      <c r="G20" t="s">
        <v>350</v>
      </c>
      <c r="H20" t="s">
        <v>368</v>
      </c>
      <c r="L20">
        <v>2</v>
      </c>
      <c r="M20">
        <v>3</v>
      </c>
      <c r="N20">
        <v>-5</v>
      </c>
    </row>
    <row r="21" spans="5:14" x14ac:dyDescent="0.3">
      <c r="E21">
        <v>17</v>
      </c>
      <c r="F21" t="s">
        <v>439</v>
      </c>
      <c r="G21" t="s">
        <v>351</v>
      </c>
      <c r="H21" t="s">
        <v>432</v>
      </c>
      <c r="L21">
        <v>2</v>
      </c>
      <c r="M21">
        <v>3</v>
      </c>
      <c r="N21">
        <v>-5</v>
      </c>
    </row>
    <row r="22" spans="5:14" x14ac:dyDescent="0.3">
      <c r="E22">
        <v>18</v>
      </c>
      <c r="F22" t="s">
        <v>439</v>
      </c>
      <c r="G22" t="s">
        <v>352</v>
      </c>
      <c r="H22" t="s">
        <v>432</v>
      </c>
      <c r="L22">
        <v>2</v>
      </c>
      <c r="M22">
        <v>3</v>
      </c>
      <c r="N22">
        <v>-5</v>
      </c>
    </row>
    <row r="23" spans="5:14" x14ac:dyDescent="0.3">
      <c r="E23">
        <v>19</v>
      </c>
      <c r="F23" t="s">
        <v>439</v>
      </c>
      <c r="G23" t="s">
        <v>435</v>
      </c>
      <c r="H23" t="s">
        <v>368</v>
      </c>
      <c r="L23">
        <v>2</v>
      </c>
      <c r="M23">
        <v>3</v>
      </c>
      <c r="N23">
        <v>-5</v>
      </c>
    </row>
    <row r="24" spans="5:14" x14ac:dyDescent="0.3">
      <c r="E24">
        <v>20</v>
      </c>
      <c r="F24" t="s">
        <v>439</v>
      </c>
      <c r="G24" t="s">
        <v>353</v>
      </c>
      <c r="H24" t="s">
        <v>368</v>
      </c>
      <c r="L24">
        <v>2</v>
      </c>
      <c r="M24">
        <v>3</v>
      </c>
      <c r="N24">
        <v>-5</v>
      </c>
    </row>
    <row r="25" spans="5:14" x14ac:dyDescent="0.3">
      <c r="E25">
        <v>21</v>
      </c>
      <c r="F25" t="s">
        <v>439</v>
      </c>
      <c r="G25" t="s">
        <v>354</v>
      </c>
      <c r="H25" t="s">
        <v>368</v>
      </c>
      <c r="I25">
        <v>1000</v>
      </c>
      <c r="J25">
        <v>3</v>
      </c>
      <c r="K25">
        <v>10</v>
      </c>
      <c r="L25">
        <v>2</v>
      </c>
      <c r="M25">
        <v>3</v>
      </c>
      <c r="N25">
        <v>-5</v>
      </c>
    </row>
    <row r="26" spans="5:14" x14ac:dyDescent="0.3">
      <c r="E26">
        <v>22</v>
      </c>
      <c r="F26" t="s">
        <v>439</v>
      </c>
      <c r="G26" t="s">
        <v>355</v>
      </c>
      <c r="H26" t="s">
        <v>432</v>
      </c>
    </row>
    <row r="27" spans="5:14" x14ac:dyDescent="0.3">
      <c r="E27">
        <v>23</v>
      </c>
      <c r="F27" t="s">
        <v>439</v>
      </c>
      <c r="G27" t="s">
        <v>546</v>
      </c>
      <c r="H27" t="s">
        <v>368</v>
      </c>
      <c r="I27">
        <v>1000</v>
      </c>
      <c r="J27">
        <v>3</v>
      </c>
      <c r="K27">
        <v>10</v>
      </c>
      <c r="L27">
        <v>2</v>
      </c>
      <c r="M27">
        <v>3</v>
      </c>
      <c r="N27">
        <v>-5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X130"/>
  <sheetViews>
    <sheetView topLeftCell="D7" zoomScale="90" zoomScaleNormal="90" workbookViewId="0">
      <selection activeCell="I14" sqref="I14"/>
    </sheetView>
  </sheetViews>
  <sheetFormatPr defaultRowHeight="14.4" x14ac:dyDescent="0.3"/>
  <cols>
    <col min="3" max="3" width="9.109375"/>
    <col min="4" max="4" width="5.33203125" style="11" bestFit="1" customWidth="1"/>
    <col min="5" max="5" width="7" style="10" customWidth="1"/>
    <col min="6" max="6" width="10.6640625" style="3" bestFit="1" customWidth="1"/>
    <col min="7" max="7" width="18.88671875" bestFit="1" customWidth="1"/>
    <col min="8" max="8" width="15.109375" style="3" bestFit="1" customWidth="1"/>
    <col min="9" max="9" width="15.44140625" style="3" bestFit="1" customWidth="1"/>
    <col min="10" max="10" width="21" bestFit="1" customWidth="1"/>
    <col min="11" max="11" width="21" style="26" customWidth="1"/>
    <col min="12" max="12" width="17.44140625" style="3" bestFit="1" customWidth="1"/>
    <col min="13" max="13" width="17.44140625" style="3" customWidth="1"/>
    <col min="14" max="14" width="10.6640625" bestFit="1" customWidth="1"/>
    <col min="15" max="15" width="14.5546875" style="3" bestFit="1" customWidth="1"/>
    <col min="16" max="16" width="16.5546875" style="23" bestFit="1" customWidth="1"/>
    <col min="17" max="17" width="11" customWidth="1"/>
    <col min="18" max="18" width="7.6640625" customWidth="1"/>
  </cols>
  <sheetData>
    <row r="2" spans="1:24" x14ac:dyDescent="0.3">
      <c r="H2" s="3" t="s">
        <v>73</v>
      </c>
      <c r="I2" s="3" t="s">
        <v>74</v>
      </c>
    </row>
    <row r="3" spans="1:24" x14ac:dyDescent="0.3">
      <c r="E3" s="10" t="s">
        <v>75</v>
      </c>
      <c r="H3" s="4">
        <v>10000</v>
      </c>
    </row>
    <row r="4" spans="1:24" x14ac:dyDescent="0.3">
      <c r="E4" s="10" t="s">
        <v>76</v>
      </c>
      <c r="H4" s="15">
        <v>0.05</v>
      </c>
    </row>
    <row r="5" spans="1:24" ht="28.8" x14ac:dyDescent="0.3">
      <c r="E5" s="10" t="s">
        <v>333</v>
      </c>
      <c r="H5" s="3" t="s">
        <v>78</v>
      </c>
      <c r="I5" s="3" t="s">
        <v>78</v>
      </c>
      <c r="K5" s="31" t="s">
        <v>302</v>
      </c>
      <c r="O5" s="30" t="s">
        <v>301</v>
      </c>
      <c r="Q5" s="32" t="s">
        <v>304</v>
      </c>
    </row>
    <row r="6" spans="1:24" x14ac:dyDescent="0.3">
      <c r="E6" s="10" t="s">
        <v>334</v>
      </c>
      <c r="H6" s="3" t="s">
        <v>78</v>
      </c>
      <c r="I6" s="3" t="s">
        <v>78</v>
      </c>
    </row>
    <row r="8" spans="1:24" x14ac:dyDescent="0.3">
      <c r="B8">
        <v>1</v>
      </c>
      <c r="C8" s="11">
        <v>2</v>
      </c>
      <c r="D8" s="10">
        <v>3</v>
      </c>
      <c r="E8" s="3">
        <v>4</v>
      </c>
      <c r="F8">
        <v>5</v>
      </c>
      <c r="G8" s="3">
        <v>6</v>
      </c>
      <c r="H8" s="3">
        <v>7</v>
      </c>
      <c r="I8" s="3">
        <v>8</v>
      </c>
      <c r="J8" s="26">
        <v>8</v>
      </c>
      <c r="K8" s="3">
        <v>9</v>
      </c>
      <c r="L8" s="3">
        <v>10</v>
      </c>
      <c r="M8" s="3">
        <v>11</v>
      </c>
      <c r="N8" s="3">
        <v>12</v>
      </c>
      <c r="O8" s="23">
        <v>13</v>
      </c>
      <c r="P8" s="3">
        <v>14</v>
      </c>
      <c r="Q8" s="3">
        <v>15</v>
      </c>
      <c r="R8" s="3"/>
    </row>
    <row r="9" spans="1:24" x14ac:dyDescent="0.3">
      <c r="H9" s="30" t="s">
        <v>303</v>
      </c>
      <c r="I9" s="5" t="s">
        <v>80</v>
      </c>
      <c r="J9" s="6" t="s">
        <v>81</v>
      </c>
      <c r="K9" s="27" t="s">
        <v>285</v>
      </c>
      <c r="L9" s="5" t="s">
        <v>80</v>
      </c>
      <c r="M9" s="5" t="s">
        <v>284</v>
      </c>
      <c r="N9" s="6" t="s">
        <v>82</v>
      </c>
      <c r="Q9" t="s">
        <v>44</v>
      </c>
      <c r="R9" t="s">
        <v>332</v>
      </c>
      <c r="T9" t="s">
        <v>103</v>
      </c>
    </row>
    <row r="10" spans="1:24" ht="15" thickBot="1" x14ac:dyDescent="0.35">
      <c r="B10" t="s">
        <v>111</v>
      </c>
      <c r="C10" t="s">
        <v>257</v>
      </c>
      <c r="D10" s="12" t="s">
        <v>83</v>
      </c>
      <c r="E10" s="13" t="s">
        <v>84</v>
      </c>
      <c r="F10" s="8" t="s">
        <v>85</v>
      </c>
      <c r="G10" s="7" t="s">
        <v>86</v>
      </c>
      <c r="H10" s="8" t="s">
        <v>77</v>
      </c>
      <c r="I10" s="8" t="s">
        <v>87</v>
      </c>
      <c r="J10" s="7" t="s">
        <v>88</v>
      </c>
      <c r="K10" s="28" t="s">
        <v>286</v>
      </c>
      <c r="L10" s="8" t="s">
        <v>79</v>
      </c>
      <c r="M10" s="8"/>
      <c r="N10" s="7" t="s">
        <v>89</v>
      </c>
      <c r="O10" s="8" t="s">
        <v>90</v>
      </c>
      <c r="P10" s="24" t="s">
        <v>87</v>
      </c>
      <c r="Q10" s="7" t="s">
        <v>91</v>
      </c>
      <c r="R10" s="6"/>
      <c r="T10" t="s">
        <v>63</v>
      </c>
      <c r="U10" t="s">
        <v>50</v>
      </c>
      <c r="V10" t="s">
        <v>51</v>
      </c>
      <c r="W10" t="s">
        <v>104</v>
      </c>
      <c r="X10" t="s">
        <v>105</v>
      </c>
    </row>
    <row r="11" spans="1:24" x14ac:dyDescent="0.3">
      <c r="A11">
        <v>1</v>
      </c>
      <c r="B11" s="22">
        <f>+A11</f>
        <v>1</v>
      </c>
      <c r="C11" t="str">
        <f>E11&amp;" "&amp;D11</f>
        <v>Jan 01</v>
      </c>
      <c r="D11" s="14" t="s">
        <v>106</v>
      </c>
      <c r="E11" s="10" t="s">
        <v>92</v>
      </c>
      <c r="F11" s="3">
        <f>+H3</f>
        <v>10000</v>
      </c>
      <c r="G11" s="2">
        <v>0.1</v>
      </c>
      <c r="H11" s="3">
        <f t="shared" ref="H11:H70" si="0">+F11*G11</f>
        <v>1000</v>
      </c>
      <c r="I11" s="3">
        <f>+H11</f>
        <v>1000</v>
      </c>
      <c r="J11" s="2">
        <v>0.3</v>
      </c>
      <c r="K11" s="26">
        <f>+I11*J11</f>
        <v>300</v>
      </c>
      <c r="L11" s="3">
        <f>+K11</f>
        <v>300</v>
      </c>
      <c r="M11" s="3">
        <f>+H11+K11</f>
        <v>1300</v>
      </c>
      <c r="N11" s="2">
        <v>0.1</v>
      </c>
      <c r="O11" s="3">
        <f>+L11*N11</f>
        <v>30</v>
      </c>
      <c r="P11" s="23">
        <f>H11+K11-O11</f>
        <v>1270</v>
      </c>
      <c r="Q11" s="21">
        <f>+P11</f>
        <v>1270</v>
      </c>
      <c r="R11" s="21">
        <f>+Q11/30</f>
        <v>42.333333333333336</v>
      </c>
    </row>
    <row r="12" spans="1:24" x14ac:dyDescent="0.3">
      <c r="A12">
        <f>+A11+1</f>
        <v>2</v>
      </c>
      <c r="B12" s="22">
        <f t="shared" ref="B12:B75" si="1">+A12</f>
        <v>2</v>
      </c>
      <c r="C12" t="str">
        <f t="shared" ref="C12:C75" si="2">E12&amp;" "&amp;D12</f>
        <v>Feb 01</v>
      </c>
      <c r="D12" s="14" t="s">
        <v>106</v>
      </c>
      <c r="E12" s="10" t="s">
        <v>93</v>
      </c>
      <c r="F12" s="3">
        <f>+F11</f>
        <v>10000</v>
      </c>
      <c r="G12" s="2">
        <v>0.1</v>
      </c>
      <c r="H12" s="3">
        <f t="shared" si="0"/>
        <v>1000</v>
      </c>
      <c r="I12" s="3">
        <f>+I11+H12</f>
        <v>2000</v>
      </c>
      <c r="J12" s="2">
        <v>0.3</v>
      </c>
      <c r="K12" s="26">
        <f t="shared" ref="K12:K70" si="3">+I12*J12</f>
        <v>600</v>
      </c>
      <c r="L12" s="3">
        <f>+L11+K12</f>
        <v>900</v>
      </c>
      <c r="M12" s="3">
        <f t="shared" ref="M12:M70" si="4">+H12+K12</f>
        <v>1600</v>
      </c>
      <c r="N12" s="2">
        <v>0.1</v>
      </c>
      <c r="O12" s="3">
        <f t="shared" ref="O12:O70" si="5">+L12*N12</f>
        <v>90</v>
      </c>
      <c r="P12" s="23">
        <f t="shared" ref="P12:P70" si="6">H12+K12-O12</f>
        <v>1510</v>
      </c>
      <c r="Q12" s="9">
        <f>+SUM($P$11:P12)/2</f>
        <v>1390</v>
      </c>
      <c r="R12" s="21">
        <f t="shared" ref="R12:R70" si="7">+Q12/30</f>
        <v>46.333333333333336</v>
      </c>
    </row>
    <row r="13" spans="1:24" x14ac:dyDescent="0.3">
      <c r="A13">
        <f t="shared" ref="A13:A76" si="8">+A12+1</f>
        <v>3</v>
      </c>
      <c r="B13" s="22">
        <f t="shared" si="1"/>
        <v>3</v>
      </c>
      <c r="C13" t="str">
        <f t="shared" si="2"/>
        <v>Mar 01</v>
      </c>
      <c r="D13" s="14" t="s">
        <v>106</v>
      </c>
      <c r="E13" s="10" t="s">
        <v>94</v>
      </c>
      <c r="F13" s="3">
        <f t="shared" ref="F13:F22" si="9">+F12</f>
        <v>10000</v>
      </c>
      <c r="G13" s="2">
        <v>0.1</v>
      </c>
      <c r="H13" s="3">
        <f t="shared" si="0"/>
        <v>1000</v>
      </c>
      <c r="I13" s="3">
        <f t="shared" ref="I13:I70" si="10">+I12+H13</f>
        <v>3000</v>
      </c>
      <c r="J13" s="2">
        <v>0.3</v>
      </c>
      <c r="K13" s="26">
        <f t="shared" si="3"/>
        <v>900</v>
      </c>
      <c r="L13" s="3">
        <f t="shared" ref="L13:L20" si="11">+L12+K13</f>
        <v>1800</v>
      </c>
      <c r="M13" s="3">
        <f t="shared" si="4"/>
        <v>1900</v>
      </c>
      <c r="N13" s="2">
        <v>0.1</v>
      </c>
      <c r="O13" s="3">
        <f t="shared" si="5"/>
        <v>180</v>
      </c>
      <c r="P13" s="23">
        <f t="shared" si="6"/>
        <v>1720</v>
      </c>
      <c r="Q13" s="9">
        <f>+SUM($P$11:P13)/3</f>
        <v>1500</v>
      </c>
      <c r="R13" s="21">
        <f t="shared" si="7"/>
        <v>50</v>
      </c>
    </row>
    <row r="14" spans="1:24" x14ac:dyDescent="0.3">
      <c r="A14">
        <f t="shared" si="8"/>
        <v>4</v>
      </c>
      <c r="B14" s="22">
        <f t="shared" si="1"/>
        <v>4</v>
      </c>
      <c r="C14" t="str">
        <f t="shared" si="2"/>
        <v>Apr 01</v>
      </c>
      <c r="D14" s="14" t="s">
        <v>106</v>
      </c>
      <c r="E14" s="10" t="s">
        <v>95</v>
      </c>
      <c r="F14" s="3">
        <f t="shared" si="9"/>
        <v>10000</v>
      </c>
      <c r="G14" s="2">
        <v>0.08</v>
      </c>
      <c r="H14" s="3">
        <f t="shared" si="0"/>
        <v>800</v>
      </c>
      <c r="I14" s="3">
        <f t="shared" si="10"/>
        <v>3800</v>
      </c>
      <c r="J14" s="2">
        <v>0.3</v>
      </c>
      <c r="K14" s="26">
        <f t="shared" si="3"/>
        <v>1140</v>
      </c>
      <c r="L14" s="3">
        <f t="shared" si="11"/>
        <v>2940</v>
      </c>
      <c r="M14" s="3">
        <f t="shared" si="4"/>
        <v>1940</v>
      </c>
      <c r="N14" s="2">
        <f t="shared" ref="N14:N70" si="12">+J14/3</f>
        <v>9.9999999999999992E-2</v>
      </c>
      <c r="O14" s="3">
        <f t="shared" si="5"/>
        <v>294</v>
      </c>
      <c r="P14" s="23">
        <f t="shared" si="6"/>
        <v>1646</v>
      </c>
      <c r="Q14" s="9">
        <f>+SUM($P$11:P14)/4</f>
        <v>1536.5</v>
      </c>
      <c r="R14" s="21">
        <f t="shared" si="7"/>
        <v>51.216666666666669</v>
      </c>
    </row>
    <row r="15" spans="1:24" x14ac:dyDescent="0.3">
      <c r="A15">
        <f t="shared" si="8"/>
        <v>5</v>
      </c>
      <c r="B15" s="22">
        <f t="shared" si="1"/>
        <v>5</v>
      </c>
      <c r="C15" t="str">
        <f t="shared" si="2"/>
        <v>May 01</v>
      </c>
      <c r="D15" s="14" t="s">
        <v>106</v>
      </c>
      <c r="E15" s="10" t="s">
        <v>96</v>
      </c>
      <c r="F15" s="3">
        <f t="shared" si="9"/>
        <v>10000</v>
      </c>
      <c r="G15" s="2">
        <v>0.08</v>
      </c>
      <c r="H15" s="3">
        <f t="shared" si="0"/>
        <v>800</v>
      </c>
      <c r="I15" s="3">
        <f t="shared" si="10"/>
        <v>4600</v>
      </c>
      <c r="J15" s="2">
        <v>0.3</v>
      </c>
      <c r="K15" s="26">
        <f t="shared" si="3"/>
        <v>1380</v>
      </c>
      <c r="L15" s="3">
        <f t="shared" si="11"/>
        <v>4320</v>
      </c>
      <c r="M15" s="3">
        <f t="shared" si="4"/>
        <v>2180</v>
      </c>
      <c r="N15" s="2">
        <f t="shared" si="12"/>
        <v>9.9999999999999992E-2</v>
      </c>
      <c r="O15" s="3">
        <f t="shared" si="5"/>
        <v>431.99999999999994</v>
      </c>
      <c r="P15" s="23">
        <f t="shared" si="6"/>
        <v>1748</v>
      </c>
      <c r="Q15" s="9">
        <f>+SUM($P$11:P15)/5</f>
        <v>1578.8</v>
      </c>
      <c r="R15" s="21">
        <f t="shared" si="7"/>
        <v>52.626666666666665</v>
      </c>
    </row>
    <row r="16" spans="1:24" x14ac:dyDescent="0.3">
      <c r="A16">
        <f t="shared" si="8"/>
        <v>6</v>
      </c>
      <c r="B16" s="22">
        <f t="shared" si="1"/>
        <v>6</v>
      </c>
      <c r="C16" t="str">
        <f t="shared" si="2"/>
        <v>Jun 01</v>
      </c>
      <c r="D16" s="14" t="s">
        <v>106</v>
      </c>
      <c r="E16" s="10" t="s">
        <v>97</v>
      </c>
      <c r="F16" s="3">
        <f t="shared" si="9"/>
        <v>10000</v>
      </c>
      <c r="G16" s="2">
        <v>0.08</v>
      </c>
      <c r="H16" s="3">
        <f t="shared" si="0"/>
        <v>800</v>
      </c>
      <c r="I16" s="3">
        <f t="shared" si="10"/>
        <v>5400</v>
      </c>
      <c r="J16" s="2">
        <v>0.3</v>
      </c>
      <c r="K16" s="26">
        <f t="shared" si="3"/>
        <v>1620</v>
      </c>
      <c r="L16" s="3">
        <f t="shared" si="11"/>
        <v>5940</v>
      </c>
      <c r="M16" s="3">
        <f t="shared" si="4"/>
        <v>2420</v>
      </c>
      <c r="N16" s="2">
        <f t="shared" si="12"/>
        <v>9.9999999999999992E-2</v>
      </c>
      <c r="O16" s="3">
        <f t="shared" si="5"/>
        <v>594</v>
      </c>
      <c r="P16" s="23">
        <f t="shared" si="6"/>
        <v>1826</v>
      </c>
      <c r="Q16" s="9">
        <f>+SUM($P$11:P16)/6</f>
        <v>1620</v>
      </c>
      <c r="R16" s="21">
        <f t="shared" si="7"/>
        <v>54</v>
      </c>
    </row>
    <row r="17" spans="1:18" x14ac:dyDescent="0.3">
      <c r="A17">
        <f t="shared" si="8"/>
        <v>7</v>
      </c>
      <c r="B17" s="22">
        <f t="shared" si="1"/>
        <v>7</v>
      </c>
      <c r="C17" t="str">
        <f t="shared" si="2"/>
        <v>Jul 01</v>
      </c>
      <c r="D17" s="14" t="s">
        <v>106</v>
      </c>
      <c r="E17" s="10" t="s">
        <v>132</v>
      </c>
      <c r="F17" s="3">
        <f t="shared" si="9"/>
        <v>10000</v>
      </c>
      <c r="G17" s="2">
        <v>0.06</v>
      </c>
      <c r="H17" s="3">
        <f t="shared" si="0"/>
        <v>600</v>
      </c>
      <c r="I17" s="3">
        <f t="shared" si="10"/>
        <v>6000</v>
      </c>
      <c r="J17" s="2">
        <v>0.2</v>
      </c>
      <c r="K17" s="26">
        <f t="shared" si="3"/>
        <v>1200</v>
      </c>
      <c r="L17" s="3">
        <f t="shared" si="11"/>
        <v>7140</v>
      </c>
      <c r="M17" s="3">
        <f t="shared" si="4"/>
        <v>1800</v>
      </c>
      <c r="N17" s="2">
        <f t="shared" si="12"/>
        <v>6.6666666666666666E-2</v>
      </c>
      <c r="O17" s="3">
        <f t="shared" si="5"/>
        <v>476</v>
      </c>
      <c r="P17" s="23">
        <f t="shared" si="6"/>
        <v>1324</v>
      </c>
      <c r="Q17" s="3">
        <f>+SUM(P11:P16)/6</f>
        <v>1620</v>
      </c>
      <c r="R17" s="21">
        <f t="shared" si="7"/>
        <v>54</v>
      </c>
    </row>
    <row r="18" spans="1:18" x14ac:dyDescent="0.3">
      <c r="A18">
        <f t="shared" si="8"/>
        <v>8</v>
      </c>
      <c r="B18" s="22">
        <f t="shared" si="1"/>
        <v>8</v>
      </c>
      <c r="C18" t="str">
        <f t="shared" si="2"/>
        <v>Aug 01</v>
      </c>
      <c r="D18" s="14" t="s">
        <v>106</v>
      </c>
      <c r="E18" s="10" t="s">
        <v>98</v>
      </c>
      <c r="F18" s="3">
        <f t="shared" si="9"/>
        <v>10000</v>
      </c>
      <c r="G18" s="2">
        <v>0.06</v>
      </c>
      <c r="H18" s="3">
        <f t="shared" si="0"/>
        <v>600</v>
      </c>
      <c r="I18" s="3">
        <f t="shared" si="10"/>
        <v>6600</v>
      </c>
      <c r="J18" s="2">
        <v>0.2</v>
      </c>
      <c r="K18" s="26">
        <f t="shared" si="3"/>
        <v>1320</v>
      </c>
      <c r="L18" s="3">
        <f t="shared" si="11"/>
        <v>8460</v>
      </c>
      <c r="M18" s="3">
        <f t="shared" si="4"/>
        <v>1920</v>
      </c>
      <c r="N18" s="2">
        <f t="shared" si="12"/>
        <v>6.6666666666666666E-2</v>
      </c>
      <c r="O18" s="3">
        <f t="shared" si="5"/>
        <v>564</v>
      </c>
      <c r="P18" s="23">
        <f t="shared" si="6"/>
        <v>1356</v>
      </c>
      <c r="Q18" s="3">
        <f t="shared" ref="Q18:Q70" si="13">+SUM(P12:P17)/6</f>
        <v>1629</v>
      </c>
      <c r="R18" s="21">
        <f t="shared" si="7"/>
        <v>54.3</v>
      </c>
    </row>
    <row r="19" spans="1:18" x14ac:dyDescent="0.3">
      <c r="A19">
        <f t="shared" si="8"/>
        <v>9</v>
      </c>
      <c r="B19" s="22">
        <f t="shared" si="1"/>
        <v>9</v>
      </c>
      <c r="C19" t="str">
        <f t="shared" si="2"/>
        <v>Sep 01</v>
      </c>
      <c r="D19" s="14" t="s">
        <v>106</v>
      </c>
      <c r="E19" s="10" t="s">
        <v>99</v>
      </c>
      <c r="F19" s="3">
        <f t="shared" si="9"/>
        <v>10000</v>
      </c>
      <c r="G19" s="2">
        <v>0.06</v>
      </c>
      <c r="H19" s="3">
        <f t="shared" si="0"/>
        <v>600</v>
      </c>
      <c r="I19" s="3">
        <f t="shared" si="10"/>
        <v>7200</v>
      </c>
      <c r="J19" s="2">
        <v>0.2</v>
      </c>
      <c r="K19" s="26">
        <f t="shared" si="3"/>
        <v>1440</v>
      </c>
      <c r="L19" s="3">
        <f t="shared" si="11"/>
        <v>9900</v>
      </c>
      <c r="M19" s="3">
        <f t="shared" si="4"/>
        <v>2040</v>
      </c>
      <c r="N19" s="2">
        <f t="shared" si="12"/>
        <v>6.6666666666666666E-2</v>
      </c>
      <c r="O19" s="3">
        <f t="shared" si="5"/>
        <v>660</v>
      </c>
      <c r="P19" s="23">
        <f t="shared" si="6"/>
        <v>1380</v>
      </c>
      <c r="Q19" s="3">
        <f t="shared" si="13"/>
        <v>1603.3333333333333</v>
      </c>
      <c r="R19" s="21">
        <f t="shared" si="7"/>
        <v>53.444444444444443</v>
      </c>
    </row>
    <row r="20" spans="1:18" x14ac:dyDescent="0.3">
      <c r="A20">
        <f t="shared" si="8"/>
        <v>10</v>
      </c>
      <c r="B20" s="22">
        <f t="shared" si="1"/>
        <v>10</v>
      </c>
      <c r="C20" t="str">
        <f t="shared" si="2"/>
        <v>Oct 01</v>
      </c>
      <c r="D20" s="14" t="s">
        <v>106</v>
      </c>
      <c r="E20" s="10" t="s">
        <v>100</v>
      </c>
      <c r="F20" s="3">
        <f t="shared" si="9"/>
        <v>10000</v>
      </c>
      <c r="G20" s="2">
        <v>0.04</v>
      </c>
      <c r="H20" s="3">
        <f t="shared" si="0"/>
        <v>400</v>
      </c>
      <c r="I20" s="3">
        <f t="shared" si="10"/>
        <v>7600</v>
      </c>
      <c r="J20" s="2">
        <v>0.2</v>
      </c>
      <c r="K20" s="26">
        <f t="shared" si="3"/>
        <v>1520</v>
      </c>
      <c r="L20" s="3">
        <f t="shared" si="11"/>
        <v>11420</v>
      </c>
      <c r="M20" s="3">
        <f t="shared" si="4"/>
        <v>1920</v>
      </c>
      <c r="N20" s="2">
        <f t="shared" si="12"/>
        <v>6.6666666666666666E-2</v>
      </c>
      <c r="O20" s="3">
        <f t="shared" si="5"/>
        <v>761.33333333333337</v>
      </c>
      <c r="P20" s="23">
        <f t="shared" si="6"/>
        <v>1158.6666666666665</v>
      </c>
      <c r="Q20" s="3">
        <f t="shared" si="13"/>
        <v>1546.6666666666667</v>
      </c>
      <c r="R20" s="21">
        <f t="shared" si="7"/>
        <v>51.555555555555557</v>
      </c>
    </row>
    <row r="21" spans="1:18" x14ac:dyDescent="0.3">
      <c r="A21">
        <f t="shared" si="8"/>
        <v>11</v>
      </c>
      <c r="B21" s="22">
        <f t="shared" si="1"/>
        <v>11</v>
      </c>
      <c r="C21" t="str">
        <f t="shared" si="2"/>
        <v>Nov 01</v>
      </c>
      <c r="D21" s="14" t="s">
        <v>106</v>
      </c>
      <c r="E21" s="10" t="s">
        <v>101</v>
      </c>
      <c r="F21" s="3">
        <f t="shared" si="9"/>
        <v>10000</v>
      </c>
      <c r="G21" s="2">
        <v>0.04</v>
      </c>
      <c r="H21" s="3">
        <f t="shared" si="0"/>
        <v>400</v>
      </c>
      <c r="I21" s="3">
        <f t="shared" si="10"/>
        <v>8000</v>
      </c>
      <c r="J21" s="2">
        <v>0.2</v>
      </c>
      <c r="K21" s="26">
        <f t="shared" si="3"/>
        <v>1600</v>
      </c>
      <c r="L21" s="3">
        <f>+IF((L20+K21) &gt; F21,F21,L20+K21)</f>
        <v>10000</v>
      </c>
      <c r="M21" s="3">
        <f t="shared" si="4"/>
        <v>2000</v>
      </c>
      <c r="N21" s="2">
        <f t="shared" si="12"/>
        <v>6.6666666666666666E-2</v>
      </c>
      <c r="O21" s="3">
        <f t="shared" si="5"/>
        <v>666.66666666666663</v>
      </c>
      <c r="P21" s="23">
        <f t="shared" si="6"/>
        <v>1333.3333333333335</v>
      </c>
      <c r="Q21" s="3">
        <f t="shared" si="13"/>
        <v>1465.4444444444443</v>
      </c>
      <c r="R21" s="21">
        <f t="shared" si="7"/>
        <v>48.848148148148148</v>
      </c>
    </row>
    <row r="22" spans="1:18" x14ac:dyDescent="0.3">
      <c r="A22">
        <f t="shared" si="8"/>
        <v>12</v>
      </c>
      <c r="B22" s="22">
        <f t="shared" si="1"/>
        <v>12</v>
      </c>
      <c r="C22" t="str">
        <f t="shared" si="2"/>
        <v>Dec 01</v>
      </c>
      <c r="D22" s="14" t="s">
        <v>106</v>
      </c>
      <c r="E22" s="10" t="s">
        <v>102</v>
      </c>
      <c r="F22" s="3">
        <f t="shared" si="9"/>
        <v>10000</v>
      </c>
      <c r="G22" s="2">
        <v>0.04</v>
      </c>
      <c r="H22" s="3">
        <f t="shared" si="0"/>
        <v>400</v>
      </c>
      <c r="I22" s="3">
        <f t="shared" si="10"/>
        <v>8400</v>
      </c>
      <c r="J22" s="2">
        <v>0.2</v>
      </c>
      <c r="K22" s="26">
        <f t="shared" si="3"/>
        <v>1680</v>
      </c>
      <c r="L22" s="3">
        <f>+IF((L21+K22) &gt; F22,F22,L21+K22)</f>
        <v>10000</v>
      </c>
      <c r="M22" s="3">
        <f t="shared" si="4"/>
        <v>2080</v>
      </c>
      <c r="N22" s="2">
        <f t="shared" si="12"/>
        <v>6.6666666666666666E-2</v>
      </c>
      <c r="O22" s="3">
        <f t="shared" si="5"/>
        <v>666.66666666666663</v>
      </c>
      <c r="P22" s="23">
        <f t="shared" si="6"/>
        <v>1413.3333333333335</v>
      </c>
      <c r="Q22" s="3">
        <f t="shared" si="13"/>
        <v>1396.3333333333333</v>
      </c>
      <c r="R22" s="21">
        <f t="shared" si="7"/>
        <v>46.544444444444444</v>
      </c>
    </row>
    <row r="23" spans="1:18" x14ac:dyDescent="0.3">
      <c r="A23">
        <f t="shared" si="8"/>
        <v>13</v>
      </c>
      <c r="B23" s="22">
        <f t="shared" si="1"/>
        <v>13</v>
      </c>
      <c r="C23" t="str">
        <f t="shared" si="2"/>
        <v>Jan 02</v>
      </c>
      <c r="D23" s="14" t="s">
        <v>107</v>
      </c>
      <c r="E23" s="10" t="s">
        <v>92</v>
      </c>
      <c r="F23" s="3">
        <f>+F22*(1+$H$4)</f>
        <v>10500</v>
      </c>
      <c r="G23" s="2">
        <v>0.04</v>
      </c>
      <c r="H23" s="3">
        <f t="shared" si="0"/>
        <v>420</v>
      </c>
      <c r="I23" s="3">
        <f t="shared" si="10"/>
        <v>8820</v>
      </c>
      <c r="J23" s="2">
        <v>0.2</v>
      </c>
      <c r="K23" s="26">
        <f t="shared" si="3"/>
        <v>1764</v>
      </c>
      <c r="L23" s="3">
        <f t="shared" ref="L23:L70" si="14">+IF((L22+K23) &gt; F23,F23,L22+K23)</f>
        <v>10500</v>
      </c>
      <c r="M23" s="3">
        <f t="shared" si="4"/>
        <v>2184</v>
      </c>
      <c r="N23" s="2">
        <f t="shared" si="12"/>
        <v>6.6666666666666666E-2</v>
      </c>
      <c r="O23" s="3">
        <f t="shared" si="5"/>
        <v>700</v>
      </c>
      <c r="P23" s="23">
        <f t="shared" si="6"/>
        <v>1484</v>
      </c>
      <c r="Q23" s="3">
        <f t="shared" si="13"/>
        <v>1327.5555555555557</v>
      </c>
      <c r="R23" s="21">
        <f t="shared" si="7"/>
        <v>44.251851851851853</v>
      </c>
    </row>
    <row r="24" spans="1:18" x14ac:dyDescent="0.3">
      <c r="A24">
        <f t="shared" si="8"/>
        <v>14</v>
      </c>
      <c r="B24" s="22">
        <f t="shared" si="1"/>
        <v>14</v>
      </c>
      <c r="C24" t="str">
        <f t="shared" si="2"/>
        <v>Feb 02</v>
      </c>
      <c r="D24" s="14" t="s">
        <v>107</v>
      </c>
      <c r="E24" s="10" t="s">
        <v>93</v>
      </c>
      <c r="F24" s="3">
        <f>+F23</f>
        <v>10500</v>
      </c>
      <c r="G24" s="2">
        <v>0.04</v>
      </c>
      <c r="H24" s="3">
        <f t="shared" si="0"/>
        <v>420</v>
      </c>
      <c r="I24" s="3">
        <f t="shared" si="10"/>
        <v>9240</v>
      </c>
      <c r="J24" s="2">
        <v>0.2</v>
      </c>
      <c r="K24" s="26">
        <f t="shared" si="3"/>
        <v>1848</v>
      </c>
      <c r="L24" s="3">
        <f t="shared" si="14"/>
        <v>10500</v>
      </c>
      <c r="M24" s="3">
        <f t="shared" si="4"/>
        <v>2268</v>
      </c>
      <c r="N24" s="2">
        <f t="shared" si="12"/>
        <v>6.6666666666666666E-2</v>
      </c>
      <c r="O24" s="3">
        <f t="shared" si="5"/>
        <v>700</v>
      </c>
      <c r="P24" s="23">
        <f t="shared" si="6"/>
        <v>1568</v>
      </c>
      <c r="Q24" s="3">
        <f t="shared" si="13"/>
        <v>1354.2222222222224</v>
      </c>
      <c r="R24" s="21">
        <f t="shared" si="7"/>
        <v>45.140740740740746</v>
      </c>
    </row>
    <row r="25" spans="1:18" x14ac:dyDescent="0.3">
      <c r="A25">
        <f t="shared" si="8"/>
        <v>15</v>
      </c>
      <c r="B25" s="22">
        <f t="shared" si="1"/>
        <v>15</v>
      </c>
      <c r="C25" t="str">
        <f t="shared" si="2"/>
        <v>Mar 02</v>
      </c>
      <c r="D25" s="14" t="s">
        <v>107</v>
      </c>
      <c r="E25" s="10" t="s">
        <v>94</v>
      </c>
      <c r="F25" s="3">
        <f t="shared" ref="F25:F34" si="15">+F24</f>
        <v>10500</v>
      </c>
      <c r="G25" s="2">
        <v>0.04</v>
      </c>
      <c r="H25" s="3">
        <f t="shared" si="0"/>
        <v>420</v>
      </c>
      <c r="I25" s="3">
        <f t="shared" si="10"/>
        <v>9660</v>
      </c>
      <c r="J25" s="2">
        <v>0.2</v>
      </c>
      <c r="K25" s="26">
        <f t="shared" si="3"/>
        <v>1932</v>
      </c>
      <c r="L25" s="3">
        <f t="shared" si="14"/>
        <v>10500</v>
      </c>
      <c r="M25" s="3">
        <f t="shared" si="4"/>
        <v>2352</v>
      </c>
      <c r="N25" s="2">
        <f t="shared" si="12"/>
        <v>6.6666666666666666E-2</v>
      </c>
      <c r="O25" s="3">
        <f t="shared" si="5"/>
        <v>700</v>
      </c>
      <c r="P25" s="23">
        <f t="shared" si="6"/>
        <v>1652</v>
      </c>
      <c r="Q25" s="3">
        <f t="shared" si="13"/>
        <v>1389.5555555555557</v>
      </c>
      <c r="R25" s="21">
        <f t="shared" si="7"/>
        <v>46.318518518518523</v>
      </c>
    </row>
    <row r="26" spans="1:18" x14ac:dyDescent="0.3">
      <c r="A26">
        <f t="shared" si="8"/>
        <v>16</v>
      </c>
      <c r="B26" s="22">
        <f t="shared" si="1"/>
        <v>16</v>
      </c>
      <c r="C26" t="str">
        <f t="shared" si="2"/>
        <v>Apr 02</v>
      </c>
      <c r="D26" s="14" t="s">
        <v>107</v>
      </c>
      <c r="E26" s="10" t="s">
        <v>95</v>
      </c>
      <c r="F26" s="3">
        <f t="shared" si="15"/>
        <v>10500</v>
      </c>
      <c r="G26" s="2">
        <v>0.04</v>
      </c>
      <c r="H26" s="3">
        <f t="shared" si="0"/>
        <v>420</v>
      </c>
      <c r="I26" s="3">
        <f t="shared" si="10"/>
        <v>10080</v>
      </c>
      <c r="J26" s="2">
        <v>0.2</v>
      </c>
      <c r="K26" s="26">
        <f t="shared" si="3"/>
        <v>2016</v>
      </c>
      <c r="L26" s="3">
        <f t="shared" si="14"/>
        <v>10500</v>
      </c>
      <c r="M26" s="3">
        <f t="shared" si="4"/>
        <v>2436</v>
      </c>
      <c r="N26" s="2">
        <f t="shared" si="12"/>
        <v>6.6666666666666666E-2</v>
      </c>
      <c r="O26" s="3">
        <f t="shared" si="5"/>
        <v>700</v>
      </c>
      <c r="P26" s="23">
        <f t="shared" si="6"/>
        <v>1736</v>
      </c>
      <c r="Q26" s="3">
        <f t="shared" si="13"/>
        <v>1434.8888888888889</v>
      </c>
      <c r="R26" s="21">
        <f t="shared" si="7"/>
        <v>47.829629629629629</v>
      </c>
    </row>
    <row r="27" spans="1:18" x14ac:dyDescent="0.3">
      <c r="A27">
        <f t="shared" si="8"/>
        <v>17</v>
      </c>
      <c r="B27" s="22">
        <f t="shared" si="1"/>
        <v>17</v>
      </c>
      <c r="C27" t="str">
        <f t="shared" si="2"/>
        <v>May 02</v>
      </c>
      <c r="D27" s="14" t="s">
        <v>107</v>
      </c>
      <c r="E27" s="10" t="s">
        <v>96</v>
      </c>
      <c r="F27" s="3">
        <f t="shared" si="15"/>
        <v>10500</v>
      </c>
      <c r="G27" s="2">
        <v>0.04</v>
      </c>
      <c r="H27" s="3">
        <f t="shared" si="0"/>
        <v>420</v>
      </c>
      <c r="I27" s="3">
        <f t="shared" si="10"/>
        <v>10500</v>
      </c>
      <c r="J27" s="2">
        <v>0.2</v>
      </c>
      <c r="K27" s="26">
        <f t="shared" si="3"/>
        <v>2100</v>
      </c>
      <c r="L27" s="3">
        <f t="shared" si="14"/>
        <v>10500</v>
      </c>
      <c r="M27" s="3">
        <f t="shared" si="4"/>
        <v>2520</v>
      </c>
      <c r="N27" s="2">
        <f t="shared" si="12"/>
        <v>6.6666666666666666E-2</v>
      </c>
      <c r="O27" s="3">
        <f t="shared" si="5"/>
        <v>700</v>
      </c>
      <c r="P27" s="23">
        <f t="shared" si="6"/>
        <v>1820</v>
      </c>
      <c r="Q27" s="3">
        <f t="shared" si="13"/>
        <v>1531.1111111111113</v>
      </c>
      <c r="R27" s="21">
        <f t="shared" si="7"/>
        <v>51.037037037037045</v>
      </c>
    </row>
    <row r="28" spans="1:18" x14ac:dyDescent="0.3">
      <c r="A28">
        <f t="shared" si="8"/>
        <v>18</v>
      </c>
      <c r="B28" s="22">
        <f t="shared" si="1"/>
        <v>18</v>
      </c>
      <c r="C28" t="str">
        <f t="shared" si="2"/>
        <v>Jun 02</v>
      </c>
      <c r="D28" s="14" t="s">
        <v>107</v>
      </c>
      <c r="E28" s="10" t="s">
        <v>97</v>
      </c>
      <c r="F28" s="3">
        <f t="shared" si="15"/>
        <v>10500</v>
      </c>
      <c r="G28" s="2">
        <v>0.04</v>
      </c>
      <c r="H28" s="3">
        <f t="shared" si="0"/>
        <v>420</v>
      </c>
      <c r="I28" s="3">
        <f t="shared" si="10"/>
        <v>10920</v>
      </c>
      <c r="J28" s="2">
        <v>0.2</v>
      </c>
      <c r="K28" s="26">
        <f t="shared" si="3"/>
        <v>2184</v>
      </c>
      <c r="L28" s="3">
        <f t="shared" si="14"/>
        <v>10500</v>
      </c>
      <c r="M28" s="3">
        <f t="shared" si="4"/>
        <v>2604</v>
      </c>
      <c r="N28" s="2">
        <f t="shared" si="12"/>
        <v>6.6666666666666666E-2</v>
      </c>
      <c r="O28" s="3">
        <f t="shared" si="5"/>
        <v>700</v>
      </c>
      <c r="P28" s="23">
        <f t="shared" si="6"/>
        <v>1904</v>
      </c>
      <c r="Q28" s="3">
        <f t="shared" si="13"/>
        <v>1612.2222222222224</v>
      </c>
      <c r="R28" s="21">
        <f t="shared" si="7"/>
        <v>53.740740740740748</v>
      </c>
    </row>
    <row r="29" spans="1:18" x14ac:dyDescent="0.3">
      <c r="A29">
        <f t="shared" si="8"/>
        <v>19</v>
      </c>
      <c r="B29" s="22">
        <f t="shared" si="1"/>
        <v>19</v>
      </c>
      <c r="C29" t="str">
        <f t="shared" si="2"/>
        <v>Jul 02</v>
      </c>
      <c r="D29" s="14" t="s">
        <v>107</v>
      </c>
      <c r="E29" s="10" t="s">
        <v>132</v>
      </c>
      <c r="F29" s="3">
        <f t="shared" si="15"/>
        <v>10500</v>
      </c>
      <c r="G29" s="2">
        <v>0.04</v>
      </c>
      <c r="H29" s="3">
        <f t="shared" si="0"/>
        <v>420</v>
      </c>
      <c r="I29" s="3">
        <f t="shared" si="10"/>
        <v>11340</v>
      </c>
      <c r="J29" s="2">
        <v>0.2</v>
      </c>
      <c r="K29" s="26">
        <f t="shared" si="3"/>
        <v>2268</v>
      </c>
      <c r="L29" s="3">
        <f t="shared" si="14"/>
        <v>10500</v>
      </c>
      <c r="M29" s="3">
        <f t="shared" si="4"/>
        <v>2688</v>
      </c>
      <c r="N29" s="2">
        <f t="shared" si="12"/>
        <v>6.6666666666666666E-2</v>
      </c>
      <c r="O29" s="3">
        <f t="shared" si="5"/>
        <v>700</v>
      </c>
      <c r="P29" s="23">
        <f t="shared" si="6"/>
        <v>1988</v>
      </c>
      <c r="Q29" s="3">
        <f t="shared" si="13"/>
        <v>1694</v>
      </c>
      <c r="R29" s="21">
        <f t="shared" si="7"/>
        <v>56.466666666666669</v>
      </c>
    </row>
    <row r="30" spans="1:18" x14ac:dyDescent="0.3">
      <c r="A30">
        <f t="shared" si="8"/>
        <v>20</v>
      </c>
      <c r="B30" s="22">
        <f t="shared" si="1"/>
        <v>20</v>
      </c>
      <c r="C30" t="str">
        <f t="shared" si="2"/>
        <v>Aug 02</v>
      </c>
      <c r="D30" s="14" t="s">
        <v>107</v>
      </c>
      <c r="E30" s="10" t="s">
        <v>98</v>
      </c>
      <c r="F30" s="3">
        <f t="shared" si="15"/>
        <v>10500</v>
      </c>
      <c r="G30" s="2">
        <v>0.04</v>
      </c>
      <c r="H30" s="3">
        <f t="shared" si="0"/>
        <v>420</v>
      </c>
      <c r="I30" s="3">
        <f t="shared" si="10"/>
        <v>11760</v>
      </c>
      <c r="J30" s="2">
        <v>0.2</v>
      </c>
      <c r="K30" s="26">
        <f t="shared" si="3"/>
        <v>2352</v>
      </c>
      <c r="L30" s="3">
        <f t="shared" si="14"/>
        <v>10500</v>
      </c>
      <c r="M30" s="3">
        <f t="shared" si="4"/>
        <v>2772</v>
      </c>
      <c r="N30" s="2">
        <f t="shared" si="12"/>
        <v>6.6666666666666666E-2</v>
      </c>
      <c r="O30" s="3">
        <f t="shared" si="5"/>
        <v>700</v>
      </c>
      <c r="P30" s="23">
        <f t="shared" si="6"/>
        <v>2072</v>
      </c>
      <c r="Q30" s="3">
        <f t="shared" si="13"/>
        <v>1778</v>
      </c>
      <c r="R30" s="21">
        <f t="shared" si="7"/>
        <v>59.266666666666666</v>
      </c>
    </row>
    <row r="31" spans="1:18" x14ac:dyDescent="0.3">
      <c r="A31">
        <f t="shared" si="8"/>
        <v>21</v>
      </c>
      <c r="B31" s="22">
        <f t="shared" si="1"/>
        <v>21</v>
      </c>
      <c r="C31" t="str">
        <f t="shared" si="2"/>
        <v>Sep 02</v>
      </c>
      <c r="D31" s="14" t="s">
        <v>107</v>
      </c>
      <c r="E31" s="10" t="s">
        <v>99</v>
      </c>
      <c r="F31" s="3">
        <f t="shared" si="15"/>
        <v>10500</v>
      </c>
      <c r="G31" s="2">
        <v>0.04</v>
      </c>
      <c r="H31" s="3">
        <f t="shared" si="0"/>
        <v>420</v>
      </c>
      <c r="I31" s="3">
        <f t="shared" si="10"/>
        <v>12180</v>
      </c>
      <c r="J31" s="2">
        <v>0.2</v>
      </c>
      <c r="K31" s="26">
        <f t="shared" si="3"/>
        <v>2436</v>
      </c>
      <c r="L31" s="3">
        <f t="shared" si="14"/>
        <v>10500</v>
      </c>
      <c r="M31" s="3">
        <f t="shared" si="4"/>
        <v>2856</v>
      </c>
      <c r="N31" s="2">
        <f t="shared" si="12"/>
        <v>6.6666666666666666E-2</v>
      </c>
      <c r="O31" s="3">
        <f t="shared" si="5"/>
        <v>700</v>
      </c>
      <c r="P31" s="23">
        <f t="shared" si="6"/>
        <v>2156</v>
      </c>
      <c r="Q31" s="3">
        <f t="shared" si="13"/>
        <v>1862</v>
      </c>
      <c r="R31" s="21">
        <f t="shared" si="7"/>
        <v>62.06666666666667</v>
      </c>
    </row>
    <row r="32" spans="1:18" x14ac:dyDescent="0.3">
      <c r="A32">
        <f t="shared" si="8"/>
        <v>22</v>
      </c>
      <c r="B32" s="22">
        <f t="shared" si="1"/>
        <v>22</v>
      </c>
      <c r="C32" t="str">
        <f t="shared" si="2"/>
        <v>Oct 02</v>
      </c>
      <c r="D32" s="14" t="s">
        <v>107</v>
      </c>
      <c r="E32" s="10" t="s">
        <v>100</v>
      </c>
      <c r="F32" s="3">
        <f t="shared" si="15"/>
        <v>10500</v>
      </c>
      <c r="G32" s="2">
        <v>0.04</v>
      </c>
      <c r="H32" s="3">
        <f t="shared" si="0"/>
        <v>420</v>
      </c>
      <c r="I32" s="3">
        <f t="shared" si="10"/>
        <v>12600</v>
      </c>
      <c r="J32" s="2">
        <v>0.2</v>
      </c>
      <c r="K32" s="26">
        <f t="shared" si="3"/>
        <v>2520</v>
      </c>
      <c r="L32" s="3">
        <f t="shared" si="14"/>
        <v>10500</v>
      </c>
      <c r="M32" s="3">
        <f t="shared" si="4"/>
        <v>2940</v>
      </c>
      <c r="N32" s="2">
        <f t="shared" si="12"/>
        <v>6.6666666666666666E-2</v>
      </c>
      <c r="O32" s="3">
        <f t="shared" si="5"/>
        <v>700</v>
      </c>
      <c r="P32" s="23">
        <f t="shared" si="6"/>
        <v>2240</v>
      </c>
      <c r="Q32" s="3">
        <f t="shared" si="13"/>
        <v>1946</v>
      </c>
      <c r="R32" s="21">
        <f t="shared" si="7"/>
        <v>64.86666666666666</v>
      </c>
    </row>
    <row r="33" spans="1:18" x14ac:dyDescent="0.3">
      <c r="A33">
        <f t="shared" si="8"/>
        <v>23</v>
      </c>
      <c r="B33" s="22">
        <f t="shared" si="1"/>
        <v>23</v>
      </c>
      <c r="C33" t="str">
        <f t="shared" si="2"/>
        <v>Nov 02</v>
      </c>
      <c r="D33" s="14" t="s">
        <v>107</v>
      </c>
      <c r="E33" s="10" t="s">
        <v>101</v>
      </c>
      <c r="F33" s="3">
        <f t="shared" si="15"/>
        <v>10500</v>
      </c>
      <c r="G33" s="2">
        <v>0.04</v>
      </c>
      <c r="H33" s="3">
        <f t="shared" si="0"/>
        <v>420</v>
      </c>
      <c r="I33" s="3">
        <f t="shared" si="10"/>
        <v>13020</v>
      </c>
      <c r="J33" s="2">
        <v>0.2</v>
      </c>
      <c r="K33" s="26">
        <f t="shared" si="3"/>
        <v>2604</v>
      </c>
      <c r="L33" s="3">
        <f t="shared" si="14"/>
        <v>10500</v>
      </c>
      <c r="M33" s="3">
        <f t="shared" si="4"/>
        <v>3024</v>
      </c>
      <c r="N33" s="2">
        <f t="shared" si="12"/>
        <v>6.6666666666666666E-2</v>
      </c>
      <c r="O33" s="3">
        <f t="shared" si="5"/>
        <v>700</v>
      </c>
      <c r="P33" s="23">
        <f t="shared" si="6"/>
        <v>2324</v>
      </c>
      <c r="Q33" s="3">
        <f t="shared" si="13"/>
        <v>2030</v>
      </c>
      <c r="R33" s="21">
        <f t="shared" si="7"/>
        <v>67.666666666666671</v>
      </c>
    </row>
    <row r="34" spans="1:18" x14ac:dyDescent="0.3">
      <c r="A34">
        <f t="shared" si="8"/>
        <v>24</v>
      </c>
      <c r="B34" s="22">
        <f t="shared" si="1"/>
        <v>24</v>
      </c>
      <c r="C34" t="str">
        <f t="shared" si="2"/>
        <v>Dec 02</v>
      </c>
      <c r="D34" s="14" t="s">
        <v>107</v>
      </c>
      <c r="E34" s="10" t="s">
        <v>102</v>
      </c>
      <c r="F34" s="3">
        <f t="shared" si="15"/>
        <v>10500</v>
      </c>
      <c r="G34" s="2">
        <v>0.04</v>
      </c>
      <c r="H34" s="3">
        <f t="shared" si="0"/>
        <v>420</v>
      </c>
      <c r="I34" s="3">
        <f t="shared" si="10"/>
        <v>13440</v>
      </c>
      <c r="J34" s="2">
        <v>0.2</v>
      </c>
      <c r="K34" s="26">
        <f t="shared" si="3"/>
        <v>2688</v>
      </c>
      <c r="L34" s="3">
        <f t="shared" si="14"/>
        <v>10500</v>
      </c>
      <c r="M34" s="3">
        <f t="shared" si="4"/>
        <v>3108</v>
      </c>
      <c r="N34" s="2">
        <f t="shared" si="12"/>
        <v>6.6666666666666666E-2</v>
      </c>
      <c r="O34" s="3">
        <f t="shared" si="5"/>
        <v>700</v>
      </c>
      <c r="P34" s="23">
        <f t="shared" si="6"/>
        <v>2408</v>
      </c>
      <c r="Q34" s="3">
        <f t="shared" si="13"/>
        <v>2114</v>
      </c>
      <c r="R34" s="21">
        <f t="shared" si="7"/>
        <v>70.466666666666669</v>
      </c>
    </row>
    <row r="35" spans="1:18" x14ac:dyDescent="0.3">
      <c r="A35">
        <f t="shared" si="8"/>
        <v>25</v>
      </c>
      <c r="B35" s="22">
        <f t="shared" si="1"/>
        <v>25</v>
      </c>
      <c r="C35" t="str">
        <f t="shared" si="2"/>
        <v>Jan 03</v>
      </c>
      <c r="D35" s="14" t="s">
        <v>108</v>
      </c>
      <c r="E35" s="10" t="s">
        <v>92</v>
      </c>
      <c r="F35" s="3">
        <f>+F34*(1+$H$4)</f>
        <v>11025</v>
      </c>
      <c r="G35" s="2">
        <v>0.04</v>
      </c>
      <c r="H35" s="3">
        <f t="shared" si="0"/>
        <v>441</v>
      </c>
      <c r="I35" s="3">
        <f t="shared" si="10"/>
        <v>13881</v>
      </c>
      <c r="J35" s="2">
        <v>0.15</v>
      </c>
      <c r="K35" s="26">
        <f t="shared" si="3"/>
        <v>2082.15</v>
      </c>
      <c r="L35" s="3">
        <f t="shared" si="14"/>
        <v>11025</v>
      </c>
      <c r="M35" s="3">
        <f t="shared" si="4"/>
        <v>2523.15</v>
      </c>
      <c r="N35" s="2">
        <f t="shared" si="12"/>
        <v>4.9999999999999996E-2</v>
      </c>
      <c r="O35" s="3">
        <f t="shared" si="5"/>
        <v>551.25</v>
      </c>
      <c r="P35" s="23">
        <f t="shared" si="6"/>
        <v>1971.9</v>
      </c>
      <c r="Q35" s="3">
        <f t="shared" si="13"/>
        <v>2198</v>
      </c>
      <c r="R35" s="21">
        <f t="shared" si="7"/>
        <v>73.266666666666666</v>
      </c>
    </row>
    <row r="36" spans="1:18" x14ac:dyDescent="0.3">
      <c r="A36">
        <f t="shared" si="8"/>
        <v>26</v>
      </c>
      <c r="B36" s="22">
        <f t="shared" si="1"/>
        <v>26</v>
      </c>
      <c r="C36" t="str">
        <f t="shared" si="2"/>
        <v>Feb 03</v>
      </c>
      <c r="D36" s="14" t="s">
        <v>108</v>
      </c>
      <c r="E36" s="10" t="s">
        <v>93</v>
      </c>
      <c r="F36" s="3">
        <f>+F35</f>
        <v>11025</v>
      </c>
      <c r="G36" s="2">
        <v>0.04</v>
      </c>
      <c r="H36" s="3">
        <f t="shared" si="0"/>
        <v>441</v>
      </c>
      <c r="I36" s="3">
        <f t="shared" si="10"/>
        <v>14322</v>
      </c>
      <c r="J36" s="2">
        <v>0.15</v>
      </c>
      <c r="K36" s="26">
        <f t="shared" si="3"/>
        <v>2148.2999999999997</v>
      </c>
      <c r="L36" s="3">
        <f t="shared" si="14"/>
        <v>11025</v>
      </c>
      <c r="M36" s="3">
        <f t="shared" si="4"/>
        <v>2589.2999999999997</v>
      </c>
      <c r="N36" s="2">
        <f t="shared" si="12"/>
        <v>4.9999999999999996E-2</v>
      </c>
      <c r="O36" s="3">
        <f t="shared" si="5"/>
        <v>551.25</v>
      </c>
      <c r="P36" s="23">
        <f t="shared" si="6"/>
        <v>2038.0499999999997</v>
      </c>
      <c r="Q36" s="3">
        <f t="shared" si="13"/>
        <v>2195.3166666666666</v>
      </c>
      <c r="R36" s="21">
        <f t="shared" si="7"/>
        <v>73.177222222222227</v>
      </c>
    </row>
    <row r="37" spans="1:18" x14ac:dyDescent="0.3">
      <c r="A37">
        <f t="shared" si="8"/>
        <v>27</v>
      </c>
      <c r="B37" s="22">
        <f t="shared" si="1"/>
        <v>27</v>
      </c>
      <c r="C37" t="str">
        <f t="shared" si="2"/>
        <v>Mar 03</v>
      </c>
      <c r="D37" s="14" t="s">
        <v>108</v>
      </c>
      <c r="E37" s="10" t="s">
        <v>94</v>
      </c>
      <c r="F37" s="3">
        <f t="shared" ref="F37:F46" si="16">+F36</f>
        <v>11025</v>
      </c>
      <c r="G37" s="2">
        <v>0.04</v>
      </c>
      <c r="H37" s="3">
        <f t="shared" si="0"/>
        <v>441</v>
      </c>
      <c r="I37" s="3">
        <f t="shared" si="10"/>
        <v>14763</v>
      </c>
      <c r="J37" s="2">
        <v>0.15</v>
      </c>
      <c r="K37" s="26">
        <f t="shared" si="3"/>
        <v>2214.4499999999998</v>
      </c>
      <c r="L37" s="3">
        <f t="shared" si="14"/>
        <v>11025</v>
      </c>
      <c r="M37" s="3">
        <f t="shared" si="4"/>
        <v>2655.45</v>
      </c>
      <c r="N37" s="2">
        <f t="shared" si="12"/>
        <v>4.9999999999999996E-2</v>
      </c>
      <c r="O37" s="3">
        <f t="shared" si="5"/>
        <v>551.25</v>
      </c>
      <c r="P37" s="23">
        <f t="shared" si="6"/>
        <v>2104.1999999999998</v>
      </c>
      <c r="Q37" s="3">
        <f t="shared" si="13"/>
        <v>2189.6583333333333</v>
      </c>
      <c r="R37" s="21">
        <f t="shared" si="7"/>
        <v>72.988611111111112</v>
      </c>
    </row>
    <row r="38" spans="1:18" x14ac:dyDescent="0.3">
      <c r="A38">
        <f t="shared" si="8"/>
        <v>28</v>
      </c>
      <c r="B38" s="22">
        <f t="shared" si="1"/>
        <v>28</v>
      </c>
      <c r="C38" t="str">
        <f t="shared" si="2"/>
        <v>Apr 03</v>
      </c>
      <c r="D38" s="14" t="s">
        <v>108</v>
      </c>
      <c r="E38" s="10" t="s">
        <v>95</v>
      </c>
      <c r="F38" s="3">
        <f t="shared" si="16"/>
        <v>11025</v>
      </c>
      <c r="G38" s="2">
        <v>0.04</v>
      </c>
      <c r="H38" s="3">
        <f t="shared" si="0"/>
        <v>441</v>
      </c>
      <c r="I38" s="3">
        <f t="shared" si="10"/>
        <v>15204</v>
      </c>
      <c r="J38" s="2">
        <v>0.15</v>
      </c>
      <c r="K38" s="26">
        <f t="shared" si="3"/>
        <v>2280.6</v>
      </c>
      <c r="L38" s="3">
        <f t="shared" si="14"/>
        <v>11025</v>
      </c>
      <c r="M38" s="3">
        <f t="shared" si="4"/>
        <v>2721.6</v>
      </c>
      <c r="N38" s="2">
        <f t="shared" si="12"/>
        <v>4.9999999999999996E-2</v>
      </c>
      <c r="O38" s="3">
        <f t="shared" si="5"/>
        <v>551.25</v>
      </c>
      <c r="P38" s="23">
        <f t="shared" si="6"/>
        <v>2170.35</v>
      </c>
      <c r="Q38" s="3">
        <f t="shared" si="13"/>
        <v>2181.0249999999996</v>
      </c>
      <c r="R38" s="21">
        <f t="shared" si="7"/>
        <v>72.700833333333321</v>
      </c>
    </row>
    <row r="39" spans="1:18" x14ac:dyDescent="0.3">
      <c r="A39">
        <f t="shared" si="8"/>
        <v>29</v>
      </c>
      <c r="B39" s="22">
        <f t="shared" si="1"/>
        <v>29</v>
      </c>
      <c r="C39" t="str">
        <f t="shared" si="2"/>
        <v>May 03</v>
      </c>
      <c r="D39" s="14" t="s">
        <v>108</v>
      </c>
      <c r="E39" s="10" t="s">
        <v>96</v>
      </c>
      <c r="F39" s="3">
        <f t="shared" si="16"/>
        <v>11025</v>
      </c>
      <c r="G39" s="2">
        <v>0.04</v>
      </c>
      <c r="H39" s="3">
        <f t="shared" si="0"/>
        <v>441</v>
      </c>
      <c r="I39" s="3">
        <f t="shared" si="10"/>
        <v>15645</v>
      </c>
      <c r="J39" s="2">
        <v>0.15</v>
      </c>
      <c r="K39" s="26">
        <f t="shared" si="3"/>
        <v>2346.75</v>
      </c>
      <c r="L39" s="3">
        <f t="shared" si="14"/>
        <v>11025</v>
      </c>
      <c r="M39" s="3">
        <f t="shared" si="4"/>
        <v>2787.75</v>
      </c>
      <c r="N39" s="2">
        <f t="shared" si="12"/>
        <v>4.9999999999999996E-2</v>
      </c>
      <c r="O39" s="3">
        <f t="shared" si="5"/>
        <v>551.25</v>
      </c>
      <c r="P39" s="23">
        <f t="shared" si="6"/>
        <v>2236.5</v>
      </c>
      <c r="Q39" s="3">
        <f t="shared" si="13"/>
        <v>2169.4166666666665</v>
      </c>
      <c r="R39" s="21">
        <f t="shared" si="7"/>
        <v>72.313888888888883</v>
      </c>
    </row>
    <row r="40" spans="1:18" x14ac:dyDescent="0.3">
      <c r="A40">
        <f t="shared" si="8"/>
        <v>30</v>
      </c>
      <c r="B40" s="22">
        <f t="shared" si="1"/>
        <v>30</v>
      </c>
      <c r="C40" t="str">
        <f t="shared" si="2"/>
        <v>Jun 03</v>
      </c>
      <c r="D40" s="14" t="s">
        <v>108</v>
      </c>
      <c r="E40" s="10" t="s">
        <v>97</v>
      </c>
      <c r="F40" s="3">
        <f t="shared" si="16"/>
        <v>11025</v>
      </c>
      <c r="G40" s="2">
        <v>0.04</v>
      </c>
      <c r="H40" s="3">
        <f t="shared" si="0"/>
        <v>441</v>
      </c>
      <c r="I40" s="3">
        <f t="shared" si="10"/>
        <v>16086</v>
      </c>
      <c r="J40" s="2">
        <v>0.15</v>
      </c>
      <c r="K40" s="26">
        <f t="shared" si="3"/>
        <v>2412.9</v>
      </c>
      <c r="L40" s="3">
        <f t="shared" si="14"/>
        <v>11025</v>
      </c>
      <c r="M40" s="3">
        <f t="shared" si="4"/>
        <v>2853.9</v>
      </c>
      <c r="N40" s="2">
        <f t="shared" si="12"/>
        <v>4.9999999999999996E-2</v>
      </c>
      <c r="O40" s="3">
        <f t="shared" si="5"/>
        <v>551.25</v>
      </c>
      <c r="P40" s="23">
        <f t="shared" si="6"/>
        <v>2302.65</v>
      </c>
      <c r="Q40" s="3">
        <f t="shared" si="13"/>
        <v>2154.833333333333</v>
      </c>
      <c r="R40" s="21">
        <f t="shared" si="7"/>
        <v>71.827777777777769</v>
      </c>
    </row>
    <row r="41" spans="1:18" x14ac:dyDescent="0.3">
      <c r="A41">
        <f t="shared" si="8"/>
        <v>31</v>
      </c>
      <c r="B41" s="22">
        <f t="shared" si="1"/>
        <v>31</v>
      </c>
      <c r="C41" t="str">
        <f t="shared" si="2"/>
        <v>Jul 03</v>
      </c>
      <c r="D41" s="14" t="s">
        <v>108</v>
      </c>
      <c r="E41" s="10" t="s">
        <v>132</v>
      </c>
      <c r="F41" s="3">
        <f t="shared" si="16"/>
        <v>11025</v>
      </c>
      <c r="G41" s="2">
        <v>0.04</v>
      </c>
      <c r="H41" s="3">
        <f t="shared" si="0"/>
        <v>441</v>
      </c>
      <c r="I41" s="3">
        <f t="shared" si="10"/>
        <v>16527</v>
      </c>
      <c r="J41" s="2">
        <v>0.15</v>
      </c>
      <c r="K41" s="26">
        <f t="shared" si="3"/>
        <v>2479.0499999999997</v>
      </c>
      <c r="L41" s="3">
        <f t="shared" si="14"/>
        <v>11025</v>
      </c>
      <c r="M41" s="3">
        <f t="shared" si="4"/>
        <v>2920.0499999999997</v>
      </c>
      <c r="N41" s="2">
        <f t="shared" si="12"/>
        <v>4.9999999999999996E-2</v>
      </c>
      <c r="O41" s="3">
        <f t="shared" si="5"/>
        <v>551.25</v>
      </c>
      <c r="P41" s="23">
        <f t="shared" si="6"/>
        <v>2368.7999999999997</v>
      </c>
      <c r="Q41" s="3">
        <f t="shared" si="13"/>
        <v>2137.2750000000001</v>
      </c>
      <c r="R41" s="21">
        <f t="shared" si="7"/>
        <v>71.242500000000007</v>
      </c>
    </row>
    <row r="42" spans="1:18" x14ac:dyDescent="0.3">
      <c r="A42">
        <f t="shared" si="8"/>
        <v>32</v>
      </c>
      <c r="B42" s="22">
        <f t="shared" si="1"/>
        <v>32</v>
      </c>
      <c r="C42" t="str">
        <f t="shared" si="2"/>
        <v>Aug 03</v>
      </c>
      <c r="D42" s="14" t="s">
        <v>108</v>
      </c>
      <c r="E42" s="10" t="s">
        <v>98</v>
      </c>
      <c r="F42" s="3">
        <f t="shared" si="16"/>
        <v>11025</v>
      </c>
      <c r="G42" s="2">
        <v>0.04</v>
      </c>
      <c r="H42" s="3">
        <f t="shared" si="0"/>
        <v>441</v>
      </c>
      <c r="I42" s="3">
        <f t="shared" si="10"/>
        <v>16968</v>
      </c>
      <c r="J42" s="2">
        <v>0.15</v>
      </c>
      <c r="K42" s="26">
        <f t="shared" si="3"/>
        <v>2545.1999999999998</v>
      </c>
      <c r="L42" s="3">
        <f t="shared" si="14"/>
        <v>11025</v>
      </c>
      <c r="M42" s="3">
        <f t="shared" si="4"/>
        <v>2986.2</v>
      </c>
      <c r="N42" s="2">
        <f t="shared" si="12"/>
        <v>4.9999999999999996E-2</v>
      </c>
      <c r="O42" s="3">
        <f t="shared" si="5"/>
        <v>551.25</v>
      </c>
      <c r="P42" s="23">
        <f t="shared" si="6"/>
        <v>2434.9499999999998</v>
      </c>
      <c r="Q42" s="3">
        <f t="shared" si="13"/>
        <v>2203.4249999999997</v>
      </c>
      <c r="R42" s="21">
        <f t="shared" si="7"/>
        <v>73.447499999999991</v>
      </c>
    </row>
    <row r="43" spans="1:18" x14ac:dyDescent="0.3">
      <c r="A43">
        <f t="shared" si="8"/>
        <v>33</v>
      </c>
      <c r="B43" s="22">
        <f t="shared" si="1"/>
        <v>33</v>
      </c>
      <c r="C43" t="str">
        <f t="shared" si="2"/>
        <v>Sep 03</v>
      </c>
      <c r="D43" s="14" t="s">
        <v>108</v>
      </c>
      <c r="E43" s="10" t="s">
        <v>99</v>
      </c>
      <c r="F43" s="3">
        <f t="shared" si="16"/>
        <v>11025</v>
      </c>
      <c r="G43" s="2">
        <v>0.04</v>
      </c>
      <c r="H43" s="3">
        <f t="shared" si="0"/>
        <v>441</v>
      </c>
      <c r="I43" s="3">
        <f t="shared" si="10"/>
        <v>17409</v>
      </c>
      <c r="J43" s="2">
        <v>0.15</v>
      </c>
      <c r="K43" s="26">
        <f t="shared" si="3"/>
        <v>2611.35</v>
      </c>
      <c r="L43" s="3">
        <f t="shared" si="14"/>
        <v>11025</v>
      </c>
      <c r="M43" s="3">
        <f t="shared" si="4"/>
        <v>3052.35</v>
      </c>
      <c r="N43" s="2">
        <f t="shared" si="12"/>
        <v>4.9999999999999996E-2</v>
      </c>
      <c r="O43" s="3">
        <f t="shared" si="5"/>
        <v>551.25</v>
      </c>
      <c r="P43" s="23">
        <f t="shared" si="6"/>
        <v>2501.1</v>
      </c>
      <c r="Q43" s="3">
        <f t="shared" si="13"/>
        <v>2269.5749999999994</v>
      </c>
      <c r="R43" s="21">
        <f t="shared" si="7"/>
        <v>75.652499999999975</v>
      </c>
    </row>
    <row r="44" spans="1:18" x14ac:dyDescent="0.3">
      <c r="A44">
        <f t="shared" si="8"/>
        <v>34</v>
      </c>
      <c r="B44" s="22">
        <f t="shared" si="1"/>
        <v>34</v>
      </c>
      <c r="C44" t="str">
        <f t="shared" si="2"/>
        <v>Oct 03</v>
      </c>
      <c r="D44" s="14" t="s">
        <v>108</v>
      </c>
      <c r="E44" s="10" t="s">
        <v>100</v>
      </c>
      <c r="F44" s="3">
        <f t="shared" si="16"/>
        <v>11025</v>
      </c>
      <c r="G44" s="2">
        <v>0.04</v>
      </c>
      <c r="H44" s="3">
        <f t="shared" si="0"/>
        <v>441</v>
      </c>
      <c r="I44" s="3">
        <f t="shared" si="10"/>
        <v>17850</v>
      </c>
      <c r="J44" s="2">
        <v>0.15</v>
      </c>
      <c r="K44" s="26">
        <f t="shared" si="3"/>
        <v>2677.5</v>
      </c>
      <c r="L44" s="3">
        <f t="shared" si="14"/>
        <v>11025</v>
      </c>
      <c r="M44" s="3">
        <f t="shared" si="4"/>
        <v>3118.5</v>
      </c>
      <c r="N44" s="2">
        <f t="shared" si="12"/>
        <v>4.9999999999999996E-2</v>
      </c>
      <c r="O44" s="3">
        <f t="shared" si="5"/>
        <v>551.25</v>
      </c>
      <c r="P44" s="23">
        <f t="shared" si="6"/>
        <v>2567.25</v>
      </c>
      <c r="Q44" s="3">
        <f t="shared" si="13"/>
        <v>2335.7249999999999</v>
      </c>
      <c r="R44" s="21">
        <f t="shared" si="7"/>
        <v>77.857500000000002</v>
      </c>
    </row>
    <row r="45" spans="1:18" x14ac:dyDescent="0.3">
      <c r="A45">
        <f t="shared" si="8"/>
        <v>35</v>
      </c>
      <c r="B45" s="22">
        <f t="shared" si="1"/>
        <v>35</v>
      </c>
      <c r="C45" t="str">
        <f t="shared" si="2"/>
        <v>Nov 03</v>
      </c>
      <c r="D45" s="14" t="s">
        <v>108</v>
      </c>
      <c r="E45" s="10" t="s">
        <v>101</v>
      </c>
      <c r="F45" s="3">
        <f t="shared" si="16"/>
        <v>11025</v>
      </c>
      <c r="G45" s="2">
        <v>0.04</v>
      </c>
      <c r="H45" s="3">
        <f t="shared" si="0"/>
        <v>441</v>
      </c>
      <c r="I45" s="3">
        <f t="shared" si="10"/>
        <v>18291</v>
      </c>
      <c r="J45" s="2">
        <v>0.15</v>
      </c>
      <c r="K45" s="26">
        <f t="shared" si="3"/>
        <v>2743.65</v>
      </c>
      <c r="L45" s="3">
        <f t="shared" si="14"/>
        <v>11025</v>
      </c>
      <c r="M45" s="3">
        <f t="shared" si="4"/>
        <v>3184.65</v>
      </c>
      <c r="N45" s="2">
        <f t="shared" si="12"/>
        <v>4.9999999999999996E-2</v>
      </c>
      <c r="O45" s="3">
        <f t="shared" si="5"/>
        <v>551.25</v>
      </c>
      <c r="P45" s="23">
        <f t="shared" si="6"/>
        <v>2633.4</v>
      </c>
      <c r="Q45" s="3">
        <f t="shared" si="13"/>
        <v>2401.8749999999995</v>
      </c>
      <c r="R45" s="21">
        <f t="shared" si="7"/>
        <v>80.062499999999986</v>
      </c>
    </row>
    <row r="46" spans="1:18" x14ac:dyDescent="0.3">
      <c r="A46">
        <f t="shared" si="8"/>
        <v>36</v>
      </c>
      <c r="B46" s="22">
        <f t="shared" si="1"/>
        <v>36</v>
      </c>
      <c r="C46" t="str">
        <f t="shared" si="2"/>
        <v>Dec 03</v>
      </c>
      <c r="D46" s="14" t="s">
        <v>108</v>
      </c>
      <c r="E46" s="10" t="s">
        <v>102</v>
      </c>
      <c r="F46" s="3">
        <f t="shared" si="16"/>
        <v>11025</v>
      </c>
      <c r="G46" s="2">
        <v>0.04</v>
      </c>
      <c r="H46" s="3">
        <f t="shared" si="0"/>
        <v>441</v>
      </c>
      <c r="I46" s="3">
        <f t="shared" si="10"/>
        <v>18732</v>
      </c>
      <c r="J46" s="2">
        <v>0.15</v>
      </c>
      <c r="K46" s="26">
        <f t="shared" si="3"/>
        <v>2809.7999999999997</v>
      </c>
      <c r="L46" s="3">
        <f t="shared" si="14"/>
        <v>11025</v>
      </c>
      <c r="M46" s="3">
        <f t="shared" si="4"/>
        <v>3250.7999999999997</v>
      </c>
      <c r="N46" s="2">
        <f t="shared" si="12"/>
        <v>4.9999999999999996E-2</v>
      </c>
      <c r="O46" s="3">
        <f t="shared" si="5"/>
        <v>551.25</v>
      </c>
      <c r="P46" s="23">
        <f t="shared" si="6"/>
        <v>2699.5499999999997</v>
      </c>
      <c r="Q46" s="3">
        <f t="shared" si="13"/>
        <v>2468.0250000000001</v>
      </c>
      <c r="R46" s="21">
        <f t="shared" si="7"/>
        <v>82.267499999999998</v>
      </c>
    </row>
    <row r="47" spans="1:18" x14ac:dyDescent="0.3">
      <c r="A47">
        <f t="shared" si="8"/>
        <v>37</v>
      </c>
      <c r="B47" s="22">
        <f t="shared" si="1"/>
        <v>37</v>
      </c>
      <c r="C47" t="str">
        <f t="shared" si="2"/>
        <v>Jan 04</v>
      </c>
      <c r="D47" s="14" t="s">
        <v>109</v>
      </c>
      <c r="E47" s="10" t="s">
        <v>92</v>
      </c>
      <c r="F47" s="3">
        <f>+F46*(1+$H$4)</f>
        <v>11576.25</v>
      </c>
      <c r="G47" s="2">
        <v>0.04</v>
      </c>
      <c r="H47" s="3">
        <f t="shared" si="0"/>
        <v>463.05</v>
      </c>
      <c r="I47" s="3">
        <f t="shared" si="10"/>
        <v>19195.05</v>
      </c>
      <c r="J47" s="2">
        <v>0.15</v>
      </c>
      <c r="K47" s="26">
        <f t="shared" si="3"/>
        <v>2879.2574999999997</v>
      </c>
      <c r="L47" s="3">
        <f t="shared" si="14"/>
        <v>11576.25</v>
      </c>
      <c r="M47" s="3">
        <f t="shared" si="4"/>
        <v>3342.3074999999999</v>
      </c>
      <c r="N47" s="2">
        <f t="shared" si="12"/>
        <v>4.9999999999999996E-2</v>
      </c>
      <c r="O47" s="3">
        <f t="shared" si="5"/>
        <v>578.8125</v>
      </c>
      <c r="P47" s="23">
        <f t="shared" si="6"/>
        <v>2763.4949999999999</v>
      </c>
      <c r="Q47" s="3">
        <f t="shared" si="13"/>
        <v>2534.1749999999997</v>
      </c>
      <c r="R47" s="21">
        <f t="shared" si="7"/>
        <v>84.472499999999997</v>
      </c>
    </row>
    <row r="48" spans="1:18" x14ac:dyDescent="0.3">
      <c r="A48">
        <f t="shared" si="8"/>
        <v>38</v>
      </c>
      <c r="B48" s="22">
        <f t="shared" si="1"/>
        <v>38</v>
      </c>
      <c r="C48" t="str">
        <f t="shared" si="2"/>
        <v>Feb 04</v>
      </c>
      <c r="D48" s="14" t="s">
        <v>109</v>
      </c>
      <c r="E48" s="10" t="s">
        <v>93</v>
      </c>
      <c r="F48" s="3">
        <f>+F47</f>
        <v>11576.25</v>
      </c>
      <c r="G48" s="2">
        <v>0.04</v>
      </c>
      <c r="H48" s="3">
        <f t="shared" si="0"/>
        <v>463.05</v>
      </c>
      <c r="I48" s="3">
        <f t="shared" si="10"/>
        <v>19658.099999999999</v>
      </c>
      <c r="J48" s="2">
        <v>0.15</v>
      </c>
      <c r="K48" s="26">
        <f t="shared" si="3"/>
        <v>2948.7149999999997</v>
      </c>
      <c r="L48" s="3">
        <f t="shared" si="14"/>
        <v>11576.25</v>
      </c>
      <c r="M48" s="3">
        <f t="shared" si="4"/>
        <v>3411.7649999999999</v>
      </c>
      <c r="N48" s="2">
        <f t="shared" si="12"/>
        <v>4.9999999999999996E-2</v>
      </c>
      <c r="O48" s="3">
        <f t="shared" si="5"/>
        <v>578.8125</v>
      </c>
      <c r="P48" s="23">
        <f t="shared" si="6"/>
        <v>2832.9524999999999</v>
      </c>
      <c r="Q48" s="3">
        <f t="shared" si="13"/>
        <v>2599.9575</v>
      </c>
      <c r="R48" s="21">
        <f t="shared" si="7"/>
        <v>86.66525</v>
      </c>
    </row>
    <row r="49" spans="1:18" x14ac:dyDescent="0.3">
      <c r="A49">
        <f t="shared" si="8"/>
        <v>39</v>
      </c>
      <c r="B49" s="22">
        <f t="shared" si="1"/>
        <v>39</v>
      </c>
      <c r="C49" t="str">
        <f t="shared" si="2"/>
        <v>Mar 04</v>
      </c>
      <c r="D49" s="14" t="s">
        <v>109</v>
      </c>
      <c r="E49" s="10" t="s">
        <v>94</v>
      </c>
      <c r="F49" s="3">
        <f t="shared" ref="F49:F58" si="17">+F48</f>
        <v>11576.25</v>
      </c>
      <c r="G49" s="2">
        <v>0.04</v>
      </c>
      <c r="H49" s="3">
        <f t="shared" si="0"/>
        <v>463.05</v>
      </c>
      <c r="I49" s="3">
        <f t="shared" si="10"/>
        <v>20121.149999999998</v>
      </c>
      <c r="J49" s="2">
        <v>0.15</v>
      </c>
      <c r="K49" s="26">
        <f t="shared" si="3"/>
        <v>3018.1724999999997</v>
      </c>
      <c r="L49" s="3">
        <f t="shared" si="14"/>
        <v>11576.25</v>
      </c>
      <c r="M49" s="3">
        <f t="shared" si="4"/>
        <v>3481.2224999999999</v>
      </c>
      <c r="N49" s="2">
        <f t="shared" si="12"/>
        <v>4.9999999999999996E-2</v>
      </c>
      <c r="O49" s="3">
        <f t="shared" si="5"/>
        <v>578.8125</v>
      </c>
      <c r="P49" s="23">
        <f t="shared" si="6"/>
        <v>2902.41</v>
      </c>
      <c r="Q49" s="3">
        <f t="shared" si="13"/>
        <v>2666.2912499999998</v>
      </c>
      <c r="R49" s="21">
        <f t="shared" si="7"/>
        <v>88.876374999999996</v>
      </c>
    </row>
    <row r="50" spans="1:18" x14ac:dyDescent="0.3">
      <c r="A50">
        <f t="shared" si="8"/>
        <v>40</v>
      </c>
      <c r="B50" s="22">
        <f t="shared" si="1"/>
        <v>40</v>
      </c>
      <c r="C50" t="str">
        <f t="shared" si="2"/>
        <v>Apr 04</v>
      </c>
      <c r="D50" s="14" t="s">
        <v>109</v>
      </c>
      <c r="E50" s="10" t="s">
        <v>95</v>
      </c>
      <c r="F50" s="3">
        <f t="shared" si="17"/>
        <v>11576.25</v>
      </c>
      <c r="G50" s="2">
        <v>0.04</v>
      </c>
      <c r="H50" s="3">
        <f t="shared" si="0"/>
        <v>463.05</v>
      </c>
      <c r="I50" s="3">
        <f t="shared" si="10"/>
        <v>20584.199999999997</v>
      </c>
      <c r="J50" s="2">
        <v>0.15</v>
      </c>
      <c r="K50" s="26">
        <f t="shared" si="3"/>
        <v>3087.6299999999997</v>
      </c>
      <c r="L50" s="3">
        <f t="shared" si="14"/>
        <v>11576.25</v>
      </c>
      <c r="M50" s="3">
        <f t="shared" si="4"/>
        <v>3550.68</v>
      </c>
      <c r="N50" s="2">
        <f t="shared" si="12"/>
        <v>4.9999999999999996E-2</v>
      </c>
      <c r="O50" s="3">
        <f t="shared" si="5"/>
        <v>578.8125</v>
      </c>
      <c r="P50" s="23">
        <f t="shared" si="6"/>
        <v>2971.8674999999998</v>
      </c>
      <c r="Q50" s="3">
        <f t="shared" si="13"/>
        <v>2733.17625</v>
      </c>
      <c r="R50" s="21">
        <f t="shared" si="7"/>
        <v>91.105874999999997</v>
      </c>
    </row>
    <row r="51" spans="1:18" x14ac:dyDescent="0.3">
      <c r="A51">
        <f t="shared" si="8"/>
        <v>41</v>
      </c>
      <c r="B51" s="22">
        <f t="shared" si="1"/>
        <v>41</v>
      </c>
      <c r="C51" t="str">
        <f t="shared" si="2"/>
        <v>May 04</v>
      </c>
      <c r="D51" s="14" t="s">
        <v>109</v>
      </c>
      <c r="E51" s="10" t="s">
        <v>96</v>
      </c>
      <c r="F51" s="3">
        <f t="shared" si="17"/>
        <v>11576.25</v>
      </c>
      <c r="G51" s="2">
        <v>0.04</v>
      </c>
      <c r="H51" s="3">
        <f t="shared" si="0"/>
        <v>463.05</v>
      </c>
      <c r="I51" s="3">
        <f t="shared" si="10"/>
        <v>21047.249999999996</v>
      </c>
      <c r="J51" s="2">
        <v>0.15</v>
      </c>
      <c r="K51" s="26">
        <f t="shared" si="3"/>
        <v>3157.0874999999992</v>
      </c>
      <c r="L51" s="3">
        <f t="shared" si="14"/>
        <v>11576.25</v>
      </c>
      <c r="M51" s="3">
        <f t="shared" si="4"/>
        <v>3620.1374999999994</v>
      </c>
      <c r="N51" s="2">
        <f t="shared" si="12"/>
        <v>4.9999999999999996E-2</v>
      </c>
      <c r="O51" s="3">
        <f t="shared" si="5"/>
        <v>578.8125</v>
      </c>
      <c r="P51" s="23">
        <f t="shared" si="6"/>
        <v>3041.3249999999994</v>
      </c>
      <c r="Q51" s="3">
        <f t="shared" si="13"/>
        <v>2800.6124999999997</v>
      </c>
      <c r="R51" s="21">
        <f t="shared" si="7"/>
        <v>93.353749999999991</v>
      </c>
    </row>
    <row r="52" spans="1:18" x14ac:dyDescent="0.3">
      <c r="A52">
        <f t="shared" si="8"/>
        <v>42</v>
      </c>
      <c r="B52" s="22">
        <f t="shared" si="1"/>
        <v>42</v>
      </c>
      <c r="C52" t="str">
        <f t="shared" si="2"/>
        <v>Jun 04</v>
      </c>
      <c r="D52" s="14" t="s">
        <v>109</v>
      </c>
      <c r="E52" s="10" t="s">
        <v>97</v>
      </c>
      <c r="F52" s="3">
        <f t="shared" si="17"/>
        <v>11576.25</v>
      </c>
      <c r="G52" s="2">
        <v>0.04</v>
      </c>
      <c r="H52" s="3">
        <f t="shared" si="0"/>
        <v>463.05</v>
      </c>
      <c r="I52" s="3">
        <f t="shared" si="10"/>
        <v>21510.299999999996</v>
      </c>
      <c r="J52" s="2">
        <v>0.15</v>
      </c>
      <c r="K52" s="26">
        <f t="shared" si="3"/>
        <v>3226.5449999999992</v>
      </c>
      <c r="L52" s="3">
        <f t="shared" si="14"/>
        <v>11576.25</v>
      </c>
      <c r="M52" s="3">
        <f t="shared" si="4"/>
        <v>3689.5949999999993</v>
      </c>
      <c r="N52" s="2">
        <f t="shared" si="12"/>
        <v>4.9999999999999996E-2</v>
      </c>
      <c r="O52" s="3">
        <f t="shared" si="5"/>
        <v>578.8125</v>
      </c>
      <c r="P52" s="23">
        <f t="shared" si="6"/>
        <v>3110.7824999999993</v>
      </c>
      <c r="Q52" s="3">
        <f t="shared" si="13"/>
        <v>2868.6</v>
      </c>
      <c r="R52" s="21">
        <f t="shared" si="7"/>
        <v>95.61999999999999</v>
      </c>
    </row>
    <row r="53" spans="1:18" x14ac:dyDescent="0.3">
      <c r="A53">
        <f t="shared" si="8"/>
        <v>43</v>
      </c>
      <c r="B53" s="22">
        <f t="shared" si="1"/>
        <v>43</v>
      </c>
      <c r="C53" t="str">
        <f t="shared" si="2"/>
        <v>Jul 04</v>
      </c>
      <c r="D53" s="14" t="s">
        <v>109</v>
      </c>
      <c r="E53" s="10" t="s">
        <v>132</v>
      </c>
      <c r="F53" s="3">
        <f t="shared" si="17"/>
        <v>11576.25</v>
      </c>
      <c r="G53" s="2">
        <v>0.04</v>
      </c>
      <c r="H53" s="3">
        <f t="shared" si="0"/>
        <v>463.05</v>
      </c>
      <c r="I53" s="3">
        <f t="shared" si="10"/>
        <v>21973.349999999995</v>
      </c>
      <c r="J53" s="2">
        <v>0.15</v>
      </c>
      <c r="K53" s="26">
        <f t="shared" si="3"/>
        <v>3296.0024999999991</v>
      </c>
      <c r="L53" s="3">
        <f t="shared" si="14"/>
        <v>11576.25</v>
      </c>
      <c r="M53" s="3">
        <f t="shared" si="4"/>
        <v>3759.0524999999993</v>
      </c>
      <c r="N53" s="2">
        <f t="shared" si="12"/>
        <v>4.9999999999999996E-2</v>
      </c>
      <c r="O53" s="3">
        <f t="shared" si="5"/>
        <v>578.8125</v>
      </c>
      <c r="P53" s="23">
        <f t="shared" si="6"/>
        <v>3180.2399999999993</v>
      </c>
      <c r="Q53" s="3">
        <f t="shared" si="13"/>
        <v>2937.1387499999996</v>
      </c>
      <c r="R53" s="21">
        <f t="shared" si="7"/>
        <v>97.904624999999982</v>
      </c>
    </row>
    <row r="54" spans="1:18" x14ac:dyDescent="0.3">
      <c r="A54">
        <f t="shared" si="8"/>
        <v>44</v>
      </c>
      <c r="B54" s="22">
        <f t="shared" si="1"/>
        <v>44</v>
      </c>
      <c r="C54" t="str">
        <f t="shared" si="2"/>
        <v>Aug 04</v>
      </c>
      <c r="D54" s="14" t="s">
        <v>109</v>
      </c>
      <c r="E54" s="10" t="s">
        <v>98</v>
      </c>
      <c r="F54" s="3">
        <f t="shared" si="17"/>
        <v>11576.25</v>
      </c>
      <c r="G54" s="2">
        <v>0.04</v>
      </c>
      <c r="H54" s="3">
        <f t="shared" si="0"/>
        <v>463.05</v>
      </c>
      <c r="I54" s="3">
        <f t="shared" si="10"/>
        <v>22436.399999999994</v>
      </c>
      <c r="J54" s="2">
        <v>0.15</v>
      </c>
      <c r="K54" s="26">
        <f t="shared" si="3"/>
        <v>3365.4599999999991</v>
      </c>
      <c r="L54" s="3">
        <f t="shared" si="14"/>
        <v>11576.25</v>
      </c>
      <c r="M54" s="3">
        <f t="shared" si="4"/>
        <v>3828.5099999999993</v>
      </c>
      <c r="N54" s="2">
        <f t="shared" si="12"/>
        <v>4.9999999999999996E-2</v>
      </c>
      <c r="O54" s="3">
        <f t="shared" si="5"/>
        <v>578.8125</v>
      </c>
      <c r="P54" s="23">
        <f t="shared" si="6"/>
        <v>3249.6974999999993</v>
      </c>
      <c r="Q54" s="3">
        <f t="shared" si="13"/>
        <v>3006.5962499999991</v>
      </c>
      <c r="R54" s="21">
        <f t="shared" si="7"/>
        <v>100.21987499999997</v>
      </c>
    </row>
    <row r="55" spans="1:18" x14ac:dyDescent="0.3">
      <c r="A55">
        <f t="shared" si="8"/>
        <v>45</v>
      </c>
      <c r="B55" s="22">
        <f t="shared" si="1"/>
        <v>45</v>
      </c>
      <c r="C55" t="str">
        <f t="shared" si="2"/>
        <v>Sep 04</v>
      </c>
      <c r="D55" s="14" t="s">
        <v>109</v>
      </c>
      <c r="E55" s="10" t="s">
        <v>99</v>
      </c>
      <c r="F55" s="3">
        <f t="shared" si="17"/>
        <v>11576.25</v>
      </c>
      <c r="G55" s="2">
        <v>0.04</v>
      </c>
      <c r="H55" s="3">
        <f t="shared" si="0"/>
        <v>463.05</v>
      </c>
      <c r="I55" s="3">
        <f t="shared" si="10"/>
        <v>22899.449999999993</v>
      </c>
      <c r="J55" s="2">
        <v>0.15</v>
      </c>
      <c r="K55" s="26">
        <f t="shared" si="3"/>
        <v>3434.9174999999991</v>
      </c>
      <c r="L55" s="3">
        <f t="shared" si="14"/>
        <v>11576.25</v>
      </c>
      <c r="M55" s="3">
        <f t="shared" si="4"/>
        <v>3897.9674999999993</v>
      </c>
      <c r="N55" s="2">
        <f t="shared" si="12"/>
        <v>4.9999999999999996E-2</v>
      </c>
      <c r="O55" s="3">
        <f t="shared" si="5"/>
        <v>578.8125</v>
      </c>
      <c r="P55" s="23">
        <f t="shared" si="6"/>
        <v>3319.1549999999993</v>
      </c>
      <c r="Q55" s="3">
        <f t="shared" si="13"/>
        <v>3076.0537499999996</v>
      </c>
      <c r="R55" s="21">
        <f t="shared" si="7"/>
        <v>102.53512499999998</v>
      </c>
    </row>
    <row r="56" spans="1:18" x14ac:dyDescent="0.3">
      <c r="A56">
        <f t="shared" si="8"/>
        <v>46</v>
      </c>
      <c r="B56" s="22">
        <f t="shared" si="1"/>
        <v>46</v>
      </c>
      <c r="C56" t="str">
        <f t="shared" si="2"/>
        <v>Oct 04</v>
      </c>
      <c r="D56" s="14" t="s">
        <v>109</v>
      </c>
      <c r="E56" s="10" t="s">
        <v>100</v>
      </c>
      <c r="F56" s="3">
        <f t="shared" si="17"/>
        <v>11576.25</v>
      </c>
      <c r="G56" s="2">
        <v>0.04</v>
      </c>
      <c r="H56" s="3">
        <f t="shared" si="0"/>
        <v>463.05</v>
      </c>
      <c r="I56" s="3">
        <f t="shared" si="10"/>
        <v>23362.499999999993</v>
      </c>
      <c r="J56" s="2">
        <v>0.15</v>
      </c>
      <c r="K56" s="26">
        <f t="shared" si="3"/>
        <v>3504.3749999999986</v>
      </c>
      <c r="L56" s="3">
        <f t="shared" si="14"/>
        <v>11576.25</v>
      </c>
      <c r="M56" s="3">
        <f t="shared" si="4"/>
        <v>3967.4249999999988</v>
      </c>
      <c r="N56" s="2">
        <f t="shared" si="12"/>
        <v>4.9999999999999996E-2</v>
      </c>
      <c r="O56" s="3">
        <f t="shared" si="5"/>
        <v>578.8125</v>
      </c>
      <c r="P56" s="23">
        <f t="shared" si="6"/>
        <v>3388.6124999999988</v>
      </c>
      <c r="Q56" s="3">
        <f t="shared" si="13"/>
        <v>3145.5112499999996</v>
      </c>
      <c r="R56" s="21">
        <f t="shared" si="7"/>
        <v>104.85037499999999</v>
      </c>
    </row>
    <row r="57" spans="1:18" x14ac:dyDescent="0.3">
      <c r="A57">
        <f t="shared" si="8"/>
        <v>47</v>
      </c>
      <c r="B57" s="22">
        <f t="shared" si="1"/>
        <v>47</v>
      </c>
      <c r="C57" t="str">
        <f t="shared" si="2"/>
        <v>Nov 04</v>
      </c>
      <c r="D57" s="14" t="s">
        <v>109</v>
      </c>
      <c r="E57" s="10" t="s">
        <v>101</v>
      </c>
      <c r="F57" s="3">
        <f t="shared" si="17"/>
        <v>11576.25</v>
      </c>
      <c r="G57" s="2">
        <v>0.04</v>
      </c>
      <c r="H57" s="3">
        <f t="shared" si="0"/>
        <v>463.05</v>
      </c>
      <c r="I57" s="3">
        <f t="shared" si="10"/>
        <v>23825.549999999992</v>
      </c>
      <c r="J57" s="2">
        <v>0.15</v>
      </c>
      <c r="K57" s="26">
        <f t="shared" si="3"/>
        <v>3573.8324999999986</v>
      </c>
      <c r="L57" s="3">
        <f t="shared" si="14"/>
        <v>11576.25</v>
      </c>
      <c r="M57" s="3">
        <f t="shared" si="4"/>
        <v>4036.8824999999988</v>
      </c>
      <c r="N57" s="2">
        <f t="shared" si="12"/>
        <v>4.9999999999999996E-2</v>
      </c>
      <c r="O57" s="3">
        <f t="shared" si="5"/>
        <v>578.8125</v>
      </c>
      <c r="P57" s="23">
        <f t="shared" si="6"/>
        <v>3458.0699999999988</v>
      </c>
      <c r="Q57" s="3">
        <f t="shared" si="13"/>
        <v>3214.9687499999995</v>
      </c>
      <c r="R57" s="21">
        <f t="shared" si="7"/>
        <v>107.16562499999999</v>
      </c>
    </row>
    <row r="58" spans="1:18" x14ac:dyDescent="0.3">
      <c r="A58">
        <f t="shared" si="8"/>
        <v>48</v>
      </c>
      <c r="B58" s="22">
        <f t="shared" si="1"/>
        <v>48</v>
      </c>
      <c r="C58" t="str">
        <f t="shared" si="2"/>
        <v>Dec 04</v>
      </c>
      <c r="D58" s="14" t="s">
        <v>109</v>
      </c>
      <c r="E58" s="10" t="s">
        <v>102</v>
      </c>
      <c r="F58" s="3">
        <f t="shared" si="17"/>
        <v>11576.25</v>
      </c>
      <c r="G58" s="2">
        <v>0.04</v>
      </c>
      <c r="H58" s="3">
        <f t="shared" si="0"/>
        <v>463.05</v>
      </c>
      <c r="I58" s="3">
        <f t="shared" si="10"/>
        <v>24288.599999999991</v>
      </c>
      <c r="J58" s="2">
        <v>0.15</v>
      </c>
      <c r="K58" s="26">
        <f t="shared" si="3"/>
        <v>3643.2899999999986</v>
      </c>
      <c r="L58" s="3">
        <f t="shared" si="14"/>
        <v>11576.25</v>
      </c>
      <c r="M58" s="3">
        <f t="shared" si="4"/>
        <v>4106.3399999999983</v>
      </c>
      <c r="N58" s="2">
        <f t="shared" si="12"/>
        <v>4.9999999999999996E-2</v>
      </c>
      <c r="O58" s="3">
        <f t="shared" si="5"/>
        <v>578.8125</v>
      </c>
      <c r="P58" s="23">
        <f t="shared" si="6"/>
        <v>3527.5274999999983</v>
      </c>
      <c r="Q58" s="3">
        <f t="shared" si="13"/>
        <v>3284.4262499999991</v>
      </c>
      <c r="R58" s="21">
        <f t="shared" si="7"/>
        <v>109.48087499999997</v>
      </c>
    </row>
    <row r="59" spans="1:18" x14ac:dyDescent="0.3">
      <c r="A59">
        <f t="shared" si="8"/>
        <v>49</v>
      </c>
      <c r="B59" s="22">
        <f t="shared" si="1"/>
        <v>49</v>
      </c>
      <c r="C59" t="str">
        <f t="shared" si="2"/>
        <v>Jan 05</v>
      </c>
      <c r="D59" s="14" t="s">
        <v>110</v>
      </c>
      <c r="E59" s="10" t="s">
        <v>92</v>
      </c>
      <c r="F59" s="3">
        <f>+F58*(1+$H$4)</f>
        <v>12155.0625</v>
      </c>
      <c r="G59" s="2">
        <v>0.04</v>
      </c>
      <c r="H59" s="3">
        <f t="shared" si="0"/>
        <v>486.20249999999999</v>
      </c>
      <c r="I59" s="3">
        <f t="shared" si="10"/>
        <v>24774.802499999991</v>
      </c>
      <c r="J59" s="2">
        <v>0.15</v>
      </c>
      <c r="K59" s="26">
        <f t="shared" si="3"/>
        <v>3716.2203749999985</v>
      </c>
      <c r="L59" s="3">
        <f t="shared" si="14"/>
        <v>12155.0625</v>
      </c>
      <c r="M59" s="3">
        <f t="shared" si="4"/>
        <v>4202.4228749999984</v>
      </c>
      <c r="N59" s="2">
        <f t="shared" si="12"/>
        <v>4.9999999999999996E-2</v>
      </c>
      <c r="O59" s="3">
        <f t="shared" si="5"/>
        <v>607.75312499999995</v>
      </c>
      <c r="P59" s="23">
        <f t="shared" si="6"/>
        <v>3594.6697499999982</v>
      </c>
      <c r="Q59" s="3">
        <f t="shared" si="13"/>
        <v>3353.8837499999986</v>
      </c>
      <c r="R59" s="21">
        <f t="shared" si="7"/>
        <v>111.79612499999995</v>
      </c>
    </row>
    <row r="60" spans="1:18" x14ac:dyDescent="0.3">
      <c r="A60">
        <f t="shared" si="8"/>
        <v>50</v>
      </c>
      <c r="B60" s="22">
        <f t="shared" si="1"/>
        <v>50</v>
      </c>
      <c r="C60" t="str">
        <f t="shared" si="2"/>
        <v>Feb 05</v>
      </c>
      <c r="D60" s="14" t="s">
        <v>110</v>
      </c>
      <c r="E60" s="10" t="s">
        <v>93</v>
      </c>
      <c r="F60" s="3">
        <f>+F59</f>
        <v>12155.0625</v>
      </c>
      <c r="G60" s="2">
        <v>0.04</v>
      </c>
      <c r="H60" s="3">
        <f t="shared" si="0"/>
        <v>486.20249999999999</v>
      </c>
      <c r="I60" s="3">
        <f t="shared" si="10"/>
        <v>25261.00499999999</v>
      </c>
      <c r="J60" s="2">
        <v>0.15</v>
      </c>
      <c r="K60" s="26">
        <f t="shared" si="3"/>
        <v>3789.1507499999984</v>
      </c>
      <c r="L60" s="3">
        <f t="shared" si="14"/>
        <v>12155.0625</v>
      </c>
      <c r="M60" s="3">
        <f t="shared" si="4"/>
        <v>4275.3532499999983</v>
      </c>
      <c r="N60" s="2">
        <f t="shared" si="12"/>
        <v>4.9999999999999996E-2</v>
      </c>
      <c r="O60" s="3">
        <f t="shared" si="5"/>
        <v>607.75312499999995</v>
      </c>
      <c r="P60" s="23">
        <f t="shared" si="6"/>
        <v>3667.6001249999981</v>
      </c>
      <c r="Q60" s="3">
        <f t="shared" si="13"/>
        <v>3422.9553749999982</v>
      </c>
      <c r="R60" s="21">
        <f t="shared" si="7"/>
        <v>114.09851249999994</v>
      </c>
    </row>
    <row r="61" spans="1:18" x14ac:dyDescent="0.3">
      <c r="A61">
        <f t="shared" si="8"/>
        <v>51</v>
      </c>
      <c r="B61" s="22">
        <f t="shared" si="1"/>
        <v>51</v>
      </c>
      <c r="C61" t="str">
        <f t="shared" si="2"/>
        <v>Mar 05</v>
      </c>
      <c r="D61" s="14" t="s">
        <v>110</v>
      </c>
      <c r="E61" s="10" t="s">
        <v>94</v>
      </c>
      <c r="F61" s="3">
        <f t="shared" ref="F61:F70" si="18">+F60</f>
        <v>12155.0625</v>
      </c>
      <c r="G61" s="2">
        <v>0.04</v>
      </c>
      <c r="H61" s="3">
        <f t="shared" si="0"/>
        <v>486.20249999999999</v>
      </c>
      <c r="I61" s="3">
        <f t="shared" si="10"/>
        <v>25747.20749999999</v>
      </c>
      <c r="J61" s="2">
        <v>0.15</v>
      </c>
      <c r="K61" s="26">
        <f t="shared" si="3"/>
        <v>3862.0811249999983</v>
      </c>
      <c r="L61" s="3">
        <f t="shared" si="14"/>
        <v>12155.0625</v>
      </c>
      <c r="M61" s="3">
        <f t="shared" si="4"/>
        <v>4348.2836249999982</v>
      </c>
      <c r="N61" s="2">
        <f t="shared" si="12"/>
        <v>4.9999999999999996E-2</v>
      </c>
      <c r="O61" s="3">
        <f t="shared" si="5"/>
        <v>607.75312499999995</v>
      </c>
      <c r="P61" s="23">
        <f t="shared" si="6"/>
        <v>3740.530499999998</v>
      </c>
      <c r="Q61" s="3">
        <f t="shared" si="13"/>
        <v>3492.6058124999986</v>
      </c>
      <c r="R61" s="21">
        <f t="shared" si="7"/>
        <v>116.42019374999995</v>
      </c>
    </row>
    <row r="62" spans="1:18" x14ac:dyDescent="0.3">
      <c r="A62">
        <f t="shared" si="8"/>
        <v>52</v>
      </c>
      <c r="B62" s="22">
        <f t="shared" si="1"/>
        <v>52</v>
      </c>
      <c r="C62" t="str">
        <f t="shared" si="2"/>
        <v>Apr 05</v>
      </c>
      <c r="D62" s="14" t="s">
        <v>110</v>
      </c>
      <c r="E62" s="10" t="s">
        <v>95</v>
      </c>
      <c r="F62" s="3">
        <f t="shared" si="18"/>
        <v>12155.0625</v>
      </c>
      <c r="G62" s="2">
        <v>0.04</v>
      </c>
      <c r="H62" s="3">
        <f t="shared" si="0"/>
        <v>486.20249999999999</v>
      </c>
      <c r="I62" s="3">
        <f t="shared" si="10"/>
        <v>26233.409999999989</v>
      </c>
      <c r="J62" s="2">
        <v>0.15</v>
      </c>
      <c r="K62" s="26">
        <f t="shared" si="3"/>
        <v>3935.0114999999983</v>
      </c>
      <c r="L62" s="3">
        <f t="shared" si="14"/>
        <v>12155.0625</v>
      </c>
      <c r="M62" s="3">
        <f t="shared" si="4"/>
        <v>4421.2139999999981</v>
      </c>
      <c r="N62" s="2">
        <f t="shared" si="12"/>
        <v>4.9999999999999996E-2</v>
      </c>
      <c r="O62" s="3">
        <f t="shared" si="5"/>
        <v>607.75312499999995</v>
      </c>
      <c r="P62" s="23">
        <f t="shared" si="6"/>
        <v>3813.4608749999979</v>
      </c>
      <c r="Q62" s="3">
        <f t="shared" si="13"/>
        <v>3562.835062499998</v>
      </c>
      <c r="R62" s="21">
        <f t="shared" si="7"/>
        <v>118.76116874999994</v>
      </c>
    </row>
    <row r="63" spans="1:18" x14ac:dyDescent="0.3">
      <c r="A63">
        <f t="shared" si="8"/>
        <v>53</v>
      </c>
      <c r="B63" s="22">
        <f t="shared" si="1"/>
        <v>53</v>
      </c>
      <c r="C63" t="str">
        <f t="shared" si="2"/>
        <v>May 05</v>
      </c>
      <c r="D63" s="14" t="s">
        <v>110</v>
      </c>
      <c r="E63" s="10" t="s">
        <v>96</v>
      </c>
      <c r="F63" s="3">
        <f t="shared" si="18"/>
        <v>12155.0625</v>
      </c>
      <c r="G63" s="2">
        <v>0.04</v>
      </c>
      <c r="H63" s="3">
        <f t="shared" si="0"/>
        <v>486.20249999999999</v>
      </c>
      <c r="I63" s="3">
        <f t="shared" si="10"/>
        <v>26719.612499999988</v>
      </c>
      <c r="J63" s="2">
        <v>0.15</v>
      </c>
      <c r="K63" s="26">
        <f t="shared" si="3"/>
        <v>4007.9418749999982</v>
      </c>
      <c r="L63" s="3">
        <f t="shared" si="14"/>
        <v>12155.0625</v>
      </c>
      <c r="M63" s="3">
        <f t="shared" si="4"/>
        <v>4494.144374999998</v>
      </c>
      <c r="N63" s="2">
        <f t="shared" si="12"/>
        <v>4.9999999999999996E-2</v>
      </c>
      <c r="O63" s="3">
        <f t="shared" si="5"/>
        <v>607.75312499999995</v>
      </c>
      <c r="P63" s="23">
        <f t="shared" si="6"/>
        <v>3886.3912499999979</v>
      </c>
      <c r="Q63" s="3">
        <f t="shared" si="13"/>
        <v>3633.6431249999982</v>
      </c>
      <c r="R63" s="21">
        <f t="shared" si="7"/>
        <v>121.12143749999994</v>
      </c>
    </row>
    <row r="64" spans="1:18" x14ac:dyDescent="0.3">
      <c r="A64">
        <f t="shared" si="8"/>
        <v>54</v>
      </c>
      <c r="B64" s="22">
        <f t="shared" si="1"/>
        <v>54</v>
      </c>
      <c r="C64" t="str">
        <f t="shared" si="2"/>
        <v>Jun 05</v>
      </c>
      <c r="D64" s="14" t="s">
        <v>110</v>
      </c>
      <c r="E64" s="10" t="s">
        <v>97</v>
      </c>
      <c r="F64" s="3">
        <f t="shared" si="18"/>
        <v>12155.0625</v>
      </c>
      <c r="G64" s="2">
        <v>0.04</v>
      </c>
      <c r="H64" s="3">
        <f t="shared" si="0"/>
        <v>486.20249999999999</v>
      </c>
      <c r="I64" s="3">
        <f t="shared" si="10"/>
        <v>27205.814999999988</v>
      </c>
      <c r="J64" s="2">
        <v>0.15</v>
      </c>
      <c r="K64" s="26">
        <f t="shared" si="3"/>
        <v>4080.8722499999981</v>
      </c>
      <c r="L64" s="3">
        <f t="shared" si="14"/>
        <v>12155.0625</v>
      </c>
      <c r="M64" s="3">
        <f t="shared" si="4"/>
        <v>4567.0747499999979</v>
      </c>
      <c r="N64" s="2">
        <f t="shared" si="12"/>
        <v>4.9999999999999996E-2</v>
      </c>
      <c r="O64" s="3">
        <f t="shared" si="5"/>
        <v>607.75312499999995</v>
      </c>
      <c r="P64" s="23">
        <f t="shared" si="6"/>
        <v>3959.3216249999978</v>
      </c>
      <c r="Q64" s="3">
        <f t="shared" si="13"/>
        <v>3705.0299999999975</v>
      </c>
      <c r="R64" s="21">
        <f t="shared" si="7"/>
        <v>123.50099999999992</v>
      </c>
    </row>
    <row r="65" spans="1:18" x14ac:dyDescent="0.3">
      <c r="A65">
        <f t="shared" si="8"/>
        <v>55</v>
      </c>
      <c r="B65" s="22">
        <f t="shared" si="1"/>
        <v>55</v>
      </c>
      <c r="C65" t="str">
        <f t="shared" si="2"/>
        <v>Jul 05</v>
      </c>
      <c r="D65" s="14" t="s">
        <v>110</v>
      </c>
      <c r="E65" s="10" t="s">
        <v>132</v>
      </c>
      <c r="F65" s="3">
        <f t="shared" si="18"/>
        <v>12155.0625</v>
      </c>
      <c r="G65" s="2">
        <v>0.04</v>
      </c>
      <c r="H65" s="3">
        <f t="shared" si="0"/>
        <v>486.20249999999999</v>
      </c>
      <c r="I65" s="3">
        <f t="shared" si="10"/>
        <v>27692.017499999987</v>
      </c>
      <c r="J65" s="2">
        <v>0.15</v>
      </c>
      <c r="K65" s="26">
        <f t="shared" si="3"/>
        <v>4153.8026249999975</v>
      </c>
      <c r="L65" s="3">
        <f t="shared" si="14"/>
        <v>12155.0625</v>
      </c>
      <c r="M65" s="3">
        <f t="shared" si="4"/>
        <v>4640.0051249999979</v>
      </c>
      <c r="N65" s="2">
        <f t="shared" si="12"/>
        <v>4.9999999999999996E-2</v>
      </c>
      <c r="O65" s="3">
        <f t="shared" si="5"/>
        <v>607.75312499999995</v>
      </c>
      <c r="P65" s="23">
        <f t="shared" si="6"/>
        <v>4032.2519999999977</v>
      </c>
      <c r="Q65" s="3">
        <f t="shared" si="13"/>
        <v>3776.9956874999975</v>
      </c>
      <c r="R65" s="21">
        <f t="shared" si="7"/>
        <v>125.89985624999991</v>
      </c>
    </row>
    <row r="66" spans="1:18" x14ac:dyDescent="0.3">
      <c r="A66">
        <f t="shared" si="8"/>
        <v>56</v>
      </c>
      <c r="B66" s="22">
        <f t="shared" si="1"/>
        <v>56</v>
      </c>
      <c r="C66" t="str">
        <f t="shared" si="2"/>
        <v>Aug 05</v>
      </c>
      <c r="D66" s="14" t="s">
        <v>110</v>
      </c>
      <c r="E66" s="10" t="s">
        <v>98</v>
      </c>
      <c r="F66" s="3">
        <f t="shared" si="18"/>
        <v>12155.0625</v>
      </c>
      <c r="G66" s="2">
        <v>0.04</v>
      </c>
      <c r="H66" s="3">
        <f t="shared" si="0"/>
        <v>486.20249999999999</v>
      </c>
      <c r="I66" s="3">
        <f t="shared" si="10"/>
        <v>28178.219999999987</v>
      </c>
      <c r="J66" s="2">
        <v>0.15</v>
      </c>
      <c r="K66" s="26">
        <f t="shared" si="3"/>
        <v>4226.7329999999974</v>
      </c>
      <c r="L66" s="3">
        <f t="shared" si="14"/>
        <v>12155.0625</v>
      </c>
      <c r="M66" s="3">
        <f t="shared" si="4"/>
        <v>4712.9354999999978</v>
      </c>
      <c r="N66" s="2">
        <f t="shared" si="12"/>
        <v>4.9999999999999996E-2</v>
      </c>
      <c r="O66" s="3">
        <f t="shared" si="5"/>
        <v>607.75312499999995</v>
      </c>
      <c r="P66" s="23">
        <f t="shared" si="6"/>
        <v>4105.1823749999976</v>
      </c>
      <c r="Q66" s="3">
        <f t="shared" si="13"/>
        <v>3849.9260624999974</v>
      </c>
      <c r="R66" s="21">
        <f t="shared" si="7"/>
        <v>128.33086874999992</v>
      </c>
    </row>
    <row r="67" spans="1:18" x14ac:dyDescent="0.3">
      <c r="A67">
        <f t="shared" si="8"/>
        <v>57</v>
      </c>
      <c r="B67" s="22">
        <f t="shared" si="1"/>
        <v>57</v>
      </c>
      <c r="C67" t="str">
        <f t="shared" si="2"/>
        <v>Sep 05</v>
      </c>
      <c r="D67" s="14" t="s">
        <v>110</v>
      </c>
      <c r="E67" s="10" t="s">
        <v>99</v>
      </c>
      <c r="F67" s="3">
        <f t="shared" si="18"/>
        <v>12155.0625</v>
      </c>
      <c r="G67" s="2">
        <v>0.04</v>
      </c>
      <c r="H67" s="3">
        <f t="shared" si="0"/>
        <v>486.20249999999999</v>
      </c>
      <c r="I67" s="3">
        <f t="shared" si="10"/>
        <v>28664.422499999986</v>
      </c>
      <c r="J67" s="2">
        <v>0.15</v>
      </c>
      <c r="K67" s="26">
        <f t="shared" si="3"/>
        <v>4299.6633749999974</v>
      </c>
      <c r="L67" s="3">
        <f t="shared" si="14"/>
        <v>12155.0625</v>
      </c>
      <c r="M67" s="3">
        <f t="shared" si="4"/>
        <v>4785.8658749999977</v>
      </c>
      <c r="N67" s="2">
        <f t="shared" si="12"/>
        <v>4.9999999999999996E-2</v>
      </c>
      <c r="O67" s="3">
        <f t="shared" si="5"/>
        <v>607.75312499999995</v>
      </c>
      <c r="P67" s="23">
        <f t="shared" si="6"/>
        <v>4178.1127499999975</v>
      </c>
      <c r="Q67" s="3">
        <f t="shared" si="13"/>
        <v>3922.8564374999974</v>
      </c>
      <c r="R67" s="21">
        <f t="shared" si="7"/>
        <v>130.7618812499999</v>
      </c>
    </row>
    <row r="68" spans="1:18" x14ac:dyDescent="0.3">
      <c r="A68">
        <f t="shared" si="8"/>
        <v>58</v>
      </c>
      <c r="B68" s="22">
        <f t="shared" si="1"/>
        <v>58</v>
      </c>
      <c r="C68" t="str">
        <f t="shared" si="2"/>
        <v>Oct 05</v>
      </c>
      <c r="D68" s="14" t="s">
        <v>110</v>
      </c>
      <c r="E68" s="10" t="s">
        <v>100</v>
      </c>
      <c r="F68" s="3">
        <f t="shared" si="18"/>
        <v>12155.0625</v>
      </c>
      <c r="G68" s="2">
        <v>0.04</v>
      </c>
      <c r="H68" s="3">
        <f t="shared" si="0"/>
        <v>486.20249999999999</v>
      </c>
      <c r="I68" s="3">
        <f t="shared" si="10"/>
        <v>29150.624999999985</v>
      </c>
      <c r="J68" s="2">
        <v>0.15</v>
      </c>
      <c r="K68" s="26">
        <f t="shared" si="3"/>
        <v>4372.5937499999973</v>
      </c>
      <c r="L68" s="3">
        <f t="shared" si="14"/>
        <v>12155.0625</v>
      </c>
      <c r="M68" s="3">
        <f t="shared" si="4"/>
        <v>4858.7962499999976</v>
      </c>
      <c r="N68" s="2">
        <f t="shared" si="12"/>
        <v>4.9999999999999996E-2</v>
      </c>
      <c r="O68" s="3">
        <f t="shared" si="5"/>
        <v>607.75312499999995</v>
      </c>
      <c r="P68" s="23">
        <f t="shared" si="6"/>
        <v>4251.0431249999974</v>
      </c>
      <c r="Q68" s="3">
        <f t="shared" si="13"/>
        <v>3995.7868124999973</v>
      </c>
      <c r="R68" s="21">
        <f t="shared" si="7"/>
        <v>133.19289374999991</v>
      </c>
    </row>
    <row r="69" spans="1:18" x14ac:dyDescent="0.3">
      <c r="A69">
        <f t="shared" si="8"/>
        <v>59</v>
      </c>
      <c r="B69" s="22">
        <f t="shared" si="1"/>
        <v>59</v>
      </c>
      <c r="C69" t="str">
        <f t="shared" si="2"/>
        <v>Nov 05</v>
      </c>
      <c r="D69" s="14" t="s">
        <v>110</v>
      </c>
      <c r="E69" s="10" t="s">
        <v>101</v>
      </c>
      <c r="F69" s="3">
        <f t="shared" si="18"/>
        <v>12155.0625</v>
      </c>
      <c r="G69" s="2">
        <v>0.04</v>
      </c>
      <c r="H69" s="3">
        <f t="shared" si="0"/>
        <v>486.20249999999999</v>
      </c>
      <c r="I69" s="3">
        <f t="shared" si="10"/>
        <v>29636.827499999985</v>
      </c>
      <c r="J69" s="2">
        <v>0.15</v>
      </c>
      <c r="K69" s="26">
        <f t="shared" si="3"/>
        <v>4445.5241249999972</v>
      </c>
      <c r="L69" s="3">
        <f t="shared" si="14"/>
        <v>12155.0625</v>
      </c>
      <c r="M69" s="3">
        <f t="shared" si="4"/>
        <v>4931.7266249999975</v>
      </c>
      <c r="N69" s="2">
        <f t="shared" si="12"/>
        <v>4.9999999999999996E-2</v>
      </c>
      <c r="O69" s="3">
        <f t="shared" si="5"/>
        <v>607.75312499999995</v>
      </c>
      <c r="P69" s="23">
        <f t="shared" si="6"/>
        <v>4323.9734999999973</v>
      </c>
      <c r="Q69" s="3">
        <f t="shared" si="13"/>
        <v>4068.7171874999972</v>
      </c>
      <c r="R69" s="21">
        <f t="shared" si="7"/>
        <v>135.62390624999992</v>
      </c>
    </row>
    <row r="70" spans="1:18" x14ac:dyDescent="0.3">
      <c r="A70">
        <f t="shared" si="8"/>
        <v>60</v>
      </c>
      <c r="B70" s="22">
        <f t="shared" si="1"/>
        <v>60</v>
      </c>
      <c r="C70" t="str">
        <f t="shared" si="2"/>
        <v>Dec 05</v>
      </c>
      <c r="D70" s="14" t="s">
        <v>110</v>
      </c>
      <c r="E70" s="10" t="s">
        <v>102</v>
      </c>
      <c r="F70" s="3">
        <f t="shared" si="18"/>
        <v>12155.0625</v>
      </c>
      <c r="G70" s="2">
        <v>0.04</v>
      </c>
      <c r="H70" s="3">
        <f t="shared" si="0"/>
        <v>486.20249999999999</v>
      </c>
      <c r="I70" s="3">
        <f t="shared" si="10"/>
        <v>30123.029999999984</v>
      </c>
      <c r="J70" s="2">
        <v>0.15</v>
      </c>
      <c r="K70" s="26">
        <f t="shared" si="3"/>
        <v>4518.4544999999971</v>
      </c>
      <c r="L70" s="3">
        <f t="shared" si="14"/>
        <v>12155.0625</v>
      </c>
      <c r="M70" s="3">
        <f t="shared" si="4"/>
        <v>5004.6569999999974</v>
      </c>
      <c r="N70" s="2">
        <f t="shared" si="12"/>
        <v>4.9999999999999996E-2</v>
      </c>
      <c r="O70" s="3">
        <f t="shared" si="5"/>
        <v>607.75312499999995</v>
      </c>
      <c r="P70" s="23">
        <f t="shared" si="6"/>
        <v>4396.9038749999972</v>
      </c>
      <c r="Q70" s="3">
        <f t="shared" si="13"/>
        <v>4141.6475624999975</v>
      </c>
      <c r="R70" s="21">
        <f t="shared" si="7"/>
        <v>138.05491874999993</v>
      </c>
    </row>
    <row r="71" spans="1:18" x14ac:dyDescent="0.3">
      <c r="A71">
        <f t="shared" si="8"/>
        <v>61</v>
      </c>
      <c r="B71" s="22">
        <f t="shared" si="1"/>
        <v>61</v>
      </c>
      <c r="C71" t="str">
        <f t="shared" si="2"/>
        <v>Jan 06</v>
      </c>
      <c r="D71" s="14" t="s">
        <v>112</v>
      </c>
      <c r="E71" s="10" t="s">
        <v>92</v>
      </c>
      <c r="F71" s="3">
        <f>+F70*(1+$H$4)</f>
        <v>12762.815625000001</v>
      </c>
      <c r="G71" s="2">
        <v>0.04</v>
      </c>
      <c r="H71" s="3">
        <f t="shared" ref="H71:H82" si="19">+F71*G71</f>
        <v>510.51262500000007</v>
      </c>
      <c r="I71" s="3">
        <f t="shared" ref="I71:I82" si="20">+I70+H71</f>
        <v>30633.542624999984</v>
      </c>
      <c r="J71" s="2">
        <v>0.15</v>
      </c>
      <c r="K71" s="26">
        <f t="shared" ref="K71:K82" si="21">+I71*J71</f>
        <v>4595.0313937499977</v>
      </c>
      <c r="L71" s="3">
        <f t="shared" ref="L71:L82" si="22">+IF((L70+K71) &gt; F71,F71,L70+K71)</f>
        <v>12762.815625000001</v>
      </c>
      <c r="M71" s="3">
        <f t="shared" ref="M71:M82" si="23">+H71+K71</f>
        <v>5105.544018749998</v>
      </c>
      <c r="N71" s="2">
        <f t="shared" ref="N71:N82" si="24">+J71/3</f>
        <v>4.9999999999999996E-2</v>
      </c>
      <c r="O71" s="3">
        <f t="shared" ref="O71:O82" si="25">+L71*N71</f>
        <v>638.14078125000003</v>
      </c>
      <c r="P71" s="23">
        <f t="shared" ref="P71:P82" si="26">H71+K71-O71</f>
        <v>4467.4032374999979</v>
      </c>
      <c r="Q71" s="3">
        <f t="shared" ref="Q71:Q82" si="27">+SUM(P65:P70)/6</f>
        <v>4214.5779374999975</v>
      </c>
      <c r="R71" s="21">
        <f t="shared" ref="R71:R82" si="28">+Q71/30</f>
        <v>140.48593124999991</v>
      </c>
    </row>
    <row r="72" spans="1:18" x14ac:dyDescent="0.3">
      <c r="A72">
        <f t="shared" si="8"/>
        <v>62</v>
      </c>
      <c r="B72" s="22">
        <f t="shared" si="1"/>
        <v>62</v>
      </c>
      <c r="C72" t="str">
        <f t="shared" si="2"/>
        <v>Feb 06</v>
      </c>
      <c r="D72" s="14" t="s">
        <v>112</v>
      </c>
      <c r="E72" s="10" t="s">
        <v>93</v>
      </c>
      <c r="F72" s="3">
        <f>+F71</f>
        <v>12762.815625000001</v>
      </c>
      <c r="G72" s="2">
        <v>0.04</v>
      </c>
      <c r="H72" s="3">
        <f t="shared" si="19"/>
        <v>510.51262500000007</v>
      </c>
      <c r="I72" s="3">
        <f t="shared" si="20"/>
        <v>31144.055249999983</v>
      </c>
      <c r="J72" s="2">
        <v>0.15</v>
      </c>
      <c r="K72" s="26">
        <f t="shared" si="21"/>
        <v>4671.6082874999975</v>
      </c>
      <c r="L72" s="3">
        <f t="shared" si="22"/>
        <v>12762.815625000001</v>
      </c>
      <c r="M72" s="3">
        <f t="shared" si="23"/>
        <v>5182.1209124999978</v>
      </c>
      <c r="N72" s="2">
        <f t="shared" si="24"/>
        <v>4.9999999999999996E-2</v>
      </c>
      <c r="O72" s="3">
        <f t="shared" si="25"/>
        <v>638.14078125000003</v>
      </c>
      <c r="P72" s="23">
        <f t="shared" si="26"/>
        <v>4543.9801312499976</v>
      </c>
      <c r="Q72" s="3">
        <f t="shared" si="27"/>
        <v>4287.1031437499978</v>
      </c>
      <c r="R72" s="21">
        <f t="shared" si="28"/>
        <v>142.90343812499992</v>
      </c>
    </row>
    <row r="73" spans="1:18" x14ac:dyDescent="0.3">
      <c r="A73">
        <f t="shared" si="8"/>
        <v>63</v>
      </c>
      <c r="B73" s="22">
        <f t="shared" si="1"/>
        <v>63</v>
      </c>
      <c r="C73" t="str">
        <f t="shared" si="2"/>
        <v>Mar 06</v>
      </c>
      <c r="D73" s="14" t="s">
        <v>112</v>
      </c>
      <c r="E73" s="10" t="s">
        <v>94</v>
      </c>
      <c r="F73" s="3">
        <f t="shared" ref="F73:F82" si="29">+F72</f>
        <v>12762.815625000001</v>
      </c>
      <c r="G73" s="2">
        <v>0.04</v>
      </c>
      <c r="H73" s="3">
        <f t="shared" si="19"/>
        <v>510.51262500000007</v>
      </c>
      <c r="I73" s="3">
        <f t="shared" si="20"/>
        <v>31654.567874999982</v>
      </c>
      <c r="J73" s="2">
        <v>0.15</v>
      </c>
      <c r="K73" s="26">
        <f t="shared" si="21"/>
        <v>4748.1851812499972</v>
      </c>
      <c r="L73" s="3">
        <f t="shared" si="22"/>
        <v>12762.815625000001</v>
      </c>
      <c r="M73" s="3">
        <f t="shared" si="23"/>
        <v>5258.6978062499975</v>
      </c>
      <c r="N73" s="2">
        <f t="shared" si="24"/>
        <v>4.9999999999999996E-2</v>
      </c>
      <c r="O73" s="3">
        <f t="shared" si="25"/>
        <v>638.14078125000003</v>
      </c>
      <c r="P73" s="23">
        <f t="shared" si="26"/>
        <v>4620.5570249999973</v>
      </c>
      <c r="Q73" s="3">
        <f t="shared" si="27"/>
        <v>4360.2361031249975</v>
      </c>
      <c r="R73" s="21">
        <f t="shared" si="28"/>
        <v>145.34120343749993</v>
      </c>
    </row>
    <row r="74" spans="1:18" x14ac:dyDescent="0.3">
      <c r="A74">
        <f t="shared" si="8"/>
        <v>64</v>
      </c>
      <c r="B74" s="22">
        <f t="shared" si="1"/>
        <v>64</v>
      </c>
      <c r="C74" t="str">
        <f t="shared" si="2"/>
        <v>Apr 06</v>
      </c>
      <c r="D74" s="14" t="s">
        <v>112</v>
      </c>
      <c r="E74" s="10" t="s">
        <v>95</v>
      </c>
      <c r="F74" s="3">
        <f t="shared" si="29"/>
        <v>12762.815625000001</v>
      </c>
      <c r="G74" s="2">
        <v>0.04</v>
      </c>
      <c r="H74" s="3">
        <f t="shared" si="19"/>
        <v>510.51262500000007</v>
      </c>
      <c r="I74" s="3">
        <f t="shared" si="20"/>
        <v>32165.080499999982</v>
      </c>
      <c r="J74" s="2">
        <v>0.15</v>
      </c>
      <c r="K74" s="26">
        <f t="shared" si="21"/>
        <v>4824.7620749999969</v>
      </c>
      <c r="L74" s="3">
        <f t="shared" si="22"/>
        <v>12762.815625000001</v>
      </c>
      <c r="M74" s="3">
        <f t="shared" si="23"/>
        <v>5335.2746999999972</v>
      </c>
      <c r="N74" s="2">
        <f t="shared" si="24"/>
        <v>4.9999999999999996E-2</v>
      </c>
      <c r="O74" s="3">
        <f t="shared" si="25"/>
        <v>638.14078125000003</v>
      </c>
      <c r="P74" s="23">
        <f t="shared" si="26"/>
        <v>4697.1339187499971</v>
      </c>
      <c r="Q74" s="3">
        <f t="shared" si="27"/>
        <v>4433.9768156249984</v>
      </c>
      <c r="R74" s="21">
        <f t="shared" si="28"/>
        <v>147.79922718749995</v>
      </c>
    </row>
    <row r="75" spans="1:18" x14ac:dyDescent="0.3">
      <c r="A75">
        <f t="shared" si="8"/>
        <v>65</v>
      </c>
      <c r="B75" s="22">
        <f t="shared" si="1"/>
        <v>65</v>
      </c>
      <c r="C75" t="str">
        <f t="shared" si="2"/>
        <v>May 06</v>
      </c>
      <c r="D75" s="14" t="s">
        <v>112</v>
      </c>
      <c r="E75" s="10" t="s">
        <v>96</v>
      </c>
      <c r="F75" s="3">
        <f t="shared" si="29"/>
        <v>12762.815625000001</v>
      </c>
      <c r="G75" s="2">
        <v>0.04</v>
      </c>
      <c r="H75" s="3">
        <f t="shared" si="19"/>
        <v>510.51262500000007</v>
      </c>
      <c r="I75" s="3">
        <f t="shared" si="20"/>
        <v>32675.593124999981</v>
      </c>
      <c r="J75" s="2">
        <v>0.15</v>
      </c>
      <c r="K75" s="26">
        <f t="shared" si="21"/>
        <v>4901.3389687499966</v>
      </c>
      <c r="L75" s="3">
        <f t="shared" si="22"/>
        <v>12762.815625000001</v>
      </c>
      <c r="M75" s="3">
        <f t="shared" si="23"/>
        <v>5411.8515937499969</v>
      </c>
      <c r="N75" s="2">
        <f t="shared" si="24"/>
        <v>4.9999999999999996E-2</v>
      </c>
      <c r="O75" s="3">
        <f t="shared" si="25"/>
        <v>638.14078125000003</v>
      </c>
      <c r="P75" s="23">
        <f t="shared" si="26"/>
        <v>4773.7108124999968</v>
      </c>
      <c r="Q75" s="3">
        <f t="shared" si="27"/>
        <v>4508.3252812499977</v>
      </c>
      <c r="R75" s="21">
        <f t="shared" si="28"/>
        <v>150.27750937499994</v>
      </c>
    </row>
    <row r="76" spans="1:18" x14ac:dyDescent="0.3">
      <c r="A76">
        <f t="shared" si="8"/>
        <v>66</v>
      </c>
      <c r="B76" s="22">
        <f t="shared" ref="B76:B130" si="30">+A76</f>
        <v>66</v>
      </c>
      <c r="C76" t="str">
        <f t="shared" ref="C76:C130" si="31">E76&amp;" "&amp;D76</f>
        <v>Jun 06</v>
      </c>
      <c r="D76" s="14" t="s">
        <v>112</v>
      </c>
      <c r="E76" s="10" t="s">
        <v>97</v>
      </c>
      <c r="F76" s="3">
        <f t="shared" si="29"/>
        <v>12762.815625000001</v>
      </c>
      <c r="G76" s="2">
        <v>0.04</v>
      </c>
      <c r="H76" s="3">
        <f t="shared" si="19"/>
        <v>510.51262500000007</v>
      </c>
      <c r="I76" s="3">
        <f t="shared" si="20"/>
        <v>33186.105749999981</v>
      </c>
      <c r="J76" s="2">
        <v>0.15</v>
      </c>
      <c r="K76" s="26">
        <f t="shared" si="21"/>
        <v>4977.9158624999973</v>
      </c>
      <c r="L76" s="3">
        <f t="shared" si="22"/>
        <v>12762.815625000001</v>
      </c>
      <c r="M76" s="3">
        <f t="shared" si="23"/>
        <v>5488.4284874999976</v>
      </c>
      <c r="N76" s="2">
        <f t="shared" si="24"/>
        <v>4.9999999999999996E-2</v>
      </c>
      <c r="O76" s="3">
        <f t="shared" si="25"/>
        <v>638.14078125000003</v>
      </c>
      <c r="P76" s="23">
        <f t="shared" si="26"/>
        <v>4850.2877062499974</v>
      </c>
      <c r="Q76" s="3">
        <f t="shared" si="27"/>
        <v>4583.2814999999982</v>
      </c>
      <c r="R76" s="21">
        <f t="shared" si="28"/>
        <v>152.77604999999994</v>
      </c>
    </row>
    <row r="77" spans="1:18" x14ac:dyDescent="0.3">
      <c r="A77">
        <f t="shared" ref="A77:A130" si="32">+A76+1</f>
        <v>67</v>
      </c>
      <c r="B77" s="22">
        <f t="shared" si="30"/>
        <v>67</v>
      </c>
      <c r="C77" t="str">
        <f t="shared" si="31"/>
        <v>Jul 06</v>
      </c>
      <c r="D77" s="14" t="s">
        <v>112</v>
      </c>
      <c r="E77" s="10" t="s">
        <v>132</v>
      </c>
      <c r="F77" s="3">
        <f t="shared" si="29"/>
        <v>12762.815625000001</v>
      </c>
      <c r="G77" s="2">
        <v>0.04</v>
      </c>
      <c r="H77" s="3">
        <f t="shared" si="19"/>
        <v>510.51262500000007</v>
      </c>
      <c r="I77" s="3">
        <f t="shared" si="20"/>
        <v>33696.618374999984</v>
      </c>
      <c r="J77" s="2">
        <v>0.15</v>
      </c>
      <c r="K77" s="26">
        <f t="shared" si="21"/>
        <v>5054.492756249997</v>
      </c>
      <c r="L77" s="3">
        <f t="shared" si="22"/>
        <v>12762.815625000001</v>
      </c>
      <c r="M77" s="3">
        <f t="shared" si="23"/>
        <v>5565.0053812499973</v>
      </c>
      <c r="N77" s="2">
        <f t="shared" si="24"/>
        <v>4.9999999999999996E-2</v>
      </c>
      <c r="O77" s="3">
        <f t="shared" si="25"/>
        <v>638.14078125000003</v>
      </c>
      <c r="P77" s="23">
        <f t="shared" si="26"/>
        <v>4926.8645999999972</v>
      </c>
      <c r="Q77" s="3">
        <f t="shared" si="27"/>
        <v>4658.8454718749972</v>
      </c>
      <c r="R77" s="21">
        <f t="shared" si="28"/>
        <v>155.29484906249991</v>
      </c>
    </row>
    <row r="78" spans="1:18" x14ac:dyDescent="0.3">
      <c r="A78">
        <f t="shared" si="32"/>
        <v>68</v>
      </c>
      <c r="B78" s="22">
        <f t="shared" si="30"/>
        <v>68</v>
      </c>
      <c r="C78" t="str">
        <f t="shared" si="31"/>
        <v>Aug 06</v>
      </c>
      <c r="D78" s="14" t="s">
        <v>112</v>
      </c>
      <c r="E78" s="10" t="s">
        <v>98</v>
      </c>
      <c r="F78" s="3">
        <f t="shared" si="29"/>
        <v>12762.815625000001</v>
      </c>
      <c r="G78" s="2">
        <v>0.04</v>
      </c>
      <c r="H78" s="3">
        <f t="shared" si="19"/>
        <v>510.51262500000007</v>
      </c>
      <c r="I78" s="3">
        <f t="shared" si="20"/>
        <v>34207.130999999987</v>
      </c>
      <c r="J78" s="2">
        <v>0.15</v>
      </c>
      <c r="K78" s="26">
        <f t="shared" si="21"/>
        <v>5131.0696499999976</v>
      </c>
      <c r="L78" s="3">
        <f t="shared" si="22"/>
        <v>12762.815625000001</v>
      </c>
      <c r="M78" s="3">
        <f t="shared" si="23"/>
        <v>5641.5822749999979</v>
      </c>
      <c r="N78" s="2">
        <f t="shared" si="24"/>
        <v>4.9999999999999996E-2</v>
      </c>
      <c r="O78" s="3">
        <f t="shared" si="25"/>
        <v>638.14078125000003</v>
      </c>
      <c r="P78" s="23">
        <f t="shared" si="26"/>
        <v>5003.4414937499978</v>
      </c>
      <c r="Q78" s="3">
        <f t="shared" si="27"/>
        <v>4735.4223656249969</v>
      </c>
      <c r="R78" s="21">
        <f t="shared" si="28"/>
        <v>157.84741218749988</v>
      </c>
    </row>
    <row r="79" spans="1:18" x14ac:dyDescent="0.3">
      <c r="A79">
        <f t="shared" si="32"/>
        <v>69</v>
      </c>
      <c r="B79" s="22">
        <f t="shared" si="30"/>
        <v>69</v>
      </c>
      <c r="C79" t="str">
        <f t="shared" si="31"/>
        <v>Sep 06</v>
      </c>
      <c r="D79" s="14" t="s">
        <v>112</v>
      </c>
      <c r="E79" s="10" t="s">
        <v>99</v>
      </c>
      <c r="F79" s="3">
        <f t="shared" si="29"/>
        <v>12762.815625000001</v>
      </c>
      <c r="G79" s="2">
        <v>0.04</v>
      </c>
      <c r="H79" s="3">
        <f t="shared" si="19"/>
        <v>510.51262500000007</v>
      </c>
      <c r="I79" s="3">
        <f t="shared" si="20"/>
        <v>34717.64362499999</v>
      </c>
      <c r="J79" s="2">
        <v>0.15</v>
      </c>
      <c r="K79" s="26">
        <f t="shared" si="21"/>
        <v>5207.6465437499983</v>
      </c>
      <c r="L79" s="3">
        <f t="shared" si="22"/>
        <v>12762.815625000001</v>
      </c>
      <c r="M79" s="3">
        <f t="shared" si="23"/>
        <v>5718.1591687499986</v>
      </c>
      <c r="N79" s="2">
        <f t="shared" si="24"/>
        <v>4.9999999999999996E-2</v>
      </c>
      <c r="O79" s="3">
        <f t="shared" si="25"/>
        <v>638.14078125000003</v>
      </c>
      <c r="P79" s="23">
        <f t="shared" si="26"/>
        <v>5080.0183874999984</v>
      </c>
      <c r="Q79" s="3">
        <f t="shared" si="27"/>
        <v>4811.9992593749967</v>
      </c>
      <c r="R79" s="21">
        <f t="shared" si="28"/>
        <v>160.39997531249989</v>
      </c>
    </row>
    <row r="80" spans="1:18" x14ac:dyDescent="0.3">
      <c r="A80">
        <f t="shared" si="32"/>
        <v>70</v>
      </c>
      <c r="B80" s="22">
        <f t="shared" si="30"/>
        <v>70</v>
      </c>
      <c r="C80" t="str">
        <f t="shared" si="31"/>
        <v>Oct 06</v>
      </c>
      <c r="D80" s="14" t="s">
        <v>112</v>
      </c>
      <c r="E80" s="10" t="s">
        <v>100</v>
      </c>
      <c r="F80" s="3">
        <f t="shared" si="29"/>
        <v>12762.815625000001</v>
      </c>
      <c r="G80" s="2">
        <v>0.04</v>
      </c>
      <c r="H80" s="3">
        <f t="shared" si="19"/>
        <v>510.51262500000007</v>
      </c>
      <c r="I80" s="3">
        <f t="shared" si="20"/>
        <v>35228.156249999993</v>
      </c>
      <c r="J80" s="2">
        <v>0.15</v>
      </c>
      <c r="K80" s="26">
        <f t="shared" si="21"/>
        <v>5284.2234374999989</v>
      </c>
      <c r="L80" s="3">
        <f t="shared" si="22"/>
        <v>12762.815625000001</v>
      </c>
      <c r="M80" s="3">
        <f t="shared" si="23"/>
        <v>5794.7360624999992</v>
      </c>
      <c r="N80" s="2">
        <f t="shared" si="24"/>
        <v>4.9999999999999996E-2</v>
      </c>
      <c r="O80" s="3">
        <f t="shared" si="25"/>
        <v>638.14078125000003</v>
      </c>
      <c r="P80" s="23">
        <f t="shared" si="26"/>
        <v>5156.5952812499991</v>
      </c>
      <c r="Q80" s="3">
        <f t="shared" si="27"/>
        <v>4888.5761531249982</v>
      </c>
      <c r="R80" s="21">
        <f t="shared" si="28"/>
        <v>162.95253843749995</v>
      </c>
    </row>
    <row r="81" spans="1:18" x14ac:dyDescent="0.3">
      <c r="A81">
        <f t="shared" si="32"/>
        <v>71</v>
      </c>
      <c r="B81" s="22">
        <f t="shared" si="30"/>
        <v>71</v>
      </c>
      <c r="C81" t="str">
        <f t="shared" si="31"/>
        <v>Nov 06</v>
      </c>
      <c r="D81" s="14" t="s">
        <v>112</v>
      </c>
      <c r="E81" s="10" t="s">
        <v>101</v>
      </c>
      <c r="F81" s="3">
        <f t="shared" si="29"/>
        <v>12762.815625000001</v>
      </c>
      <c r="G81" s="2">
        <v>0.04</v>
      </c>
      <c r="H81" s="3">
        <f t="shared" si="19"/>
        <v>510.51262500000007</v>
      </c>
      <c r="I81" s="3">
        <f t="shared" si="20"/>
        <v>35738.668874999996</v>
      </c>
      <c r="J81" s="2">
        <v>0.15</v>
      </c>
      <c r="K81" s="26">
        <f t="shared" si="21"/>
        <v>5360.8003312499995</v>
      </c>
      <c r="L81" s="3">
        <f t="shared" si="22"/>
        <v>12762.815625000001</v>
      </c>
      <c r="M81" s="3">
        <f t="shared" si="23"/>
        <v>5871.3129562499998</v>
      </c>
      <c r="N81" s="2">
        <f t="shared" si="24"/>
        <v>4.9999999999999996E-2</v>
      </c>
      <c r="O81" s="3">
        <f t="shared" si="25"/>
        <v>638.14078125000003</v>
      </c>
      <c r="P81" s="23">
        <f t="shared" si="26"/>
        <v>5233.1721749999997</v>
      </c>
      <c r="Q81" s="3">
        <f t="shared" si="27"/>
        <v>4965.1530468749979</v>
      </c>
      <c r="R81" s="21">
        <f t="shared" si="28"/>
        <v>165.50510156249993</v>
      </c>
    </row>
    <row r="82" spans="1:18" x14ac:dyDescent="0.3">
      <c r="A82">
        <f t="shared" si="32"/>
        <v>72</v>
      </c>
      <c r="B82" s="22">
        <f t="shared" si="30"/>
        <v>72</v>
      </c>
      <c r="C82" t="str">
        <f t="shared" si="31"/>
        <v>Dec 06</v>
      </c>
      <c r="D82" s="14" t="s">
        <v>112</v>
      </c>
      <c r="E82" s="10" t="s">
        <v>102</v>
      </c>
      <c r="F82" s="3">
        <f t="shared" si="29"/>
        <v>12762.815625000001</v>
      </c>
      <c r="G82" s="2">
        <v>0.04</v>
      </c>
      <c r="H82" s="3">
        <f t="shared" si="19"/>
        <v>510.51262500000007</v>
      </c>
      <c r="I82" s="3">
        <f t="shared" si="20"/>
        <v>36249.181499999999</v>
      </c>
      <c r="J82" s="2">
        <v>0.15</v>
      </c>
      <c r="K82" s="26">
        <f t="shared" si="21"/>
        <v>5437.3772249999993</v>
      </c>
      <c r="L82" s="3">
        <f t="shared" si="22"/>
        <v>12762.815625000001</v>
      </c>
      <c r="M82" s="3">
        <f t="shared" si="23"/>
        <v>5947.8898499999996</v>
      </c>
      <c r="N82" s="2">
        <f t="shared" si="24"/>
        <v>4.9999999999999996E-2</v>
      </c>
      <c r="O82" s="3">
        <f t="shared" si="25"/>
        <v>638.14078125000003</v>
      </c>
      <c r="P82" s="23">
        <f t="shared" si="26"/>
        <v>5309.7490687499994</v>
      </c>
      <c r="Q82" s="3">
        <f t="shared" si="27"/>
        <v>5041.7299406249977</v>
      </c>
      <c r="R82" s="21">
        <f t="shared" si="28"/>
        <v>168.05766468749991</v>
      </c>
    </row>
    <row r="83" spans="1:18" x14ac:dyDescent="0.3">
      <c r="A83">
        <f t="shared" si="32"/>
        <v>73</v>
      </c>
      <c r="B83" s="22">
        <f t="shared" si="30"/>
        <v>73</v>
      </c>
      <c r="C83" t="str">
        <f t="shared" si="31"/>
        <v>Jan 07</v>
      </c>
      <c r="D83" s="14" t="s">
        <v>118</v>
      </c>
      <c r="E83" s="10" t="s">
        <v>92</v>
      </c>
      <c r="F83" s="3">
        <f>+F82*(1+$H$4)</f>
        <v>13400.956406250001</v>
      </c>
      <c r="K83" s="26">
        <f t="shared" ref="K83:K130" si="33">+I83*J83</f>
        <v>0</v>
      </c>
      <c r="M83" s="3">
        <f t="shared" ref="M83:M130" si="34">+H83+K83</f>
        <v>0</v>
      </c>
    </row>
    <row r="84" spans="1:18" x14ac:dyDescent="0.3">
      <c r="A84">
        <f t="shared" si="32"/>
        <v>74</v>
      </c>
      <c r="B84" s="22">
        <f t="shared" si="30"/>
        <v>74</v>
      </c>
      <c r="C84" t="str">
        <f t="shared" si="31"/>
        <v>Feb 07</v>
      </c>
      <c r="D84" s="14" t="s">
        <v>118</v>
      </c>
      <c r="E84" s="10" t="s">
        <v>93</v>
      </c>
      <c r="F84" s="3">
        <f>+F83</f>
        <v>13400.956406250001</v>
      </c>
      <c r="K84" s="26">
        <f t="shared" si="33"/>
        <v>0</v>
      </c>
      <c r="M84" s="3">
        <f t="shared" si="34"/>
        <v>0</v>
      </c>
    </row>
    <row r="85" spans="1:18" x14ac:dyDescent="0.3">
      <c r="A85">
        <f t="shared" si="32"/>
        <v>75</v>
      </c>
      <c r="B85" s="22">
        <f t="shared" si="30"/>
        <v>75</v>
      </c>
      <c r="C85" t="str">
        <f t="shared" si="31"/>
        <v>Mar 07</v>
      </c>
      <c r="D85" s="14" t="s">
        <v>118</v>
      </c>
      <c r="E85" s="10" t="s">
        <v>94</v>
      </c>
      <c r="F85" s="3">
        <f t="shared" ref="F85:F94" si="35">+F84</f>
        <v>13400.956406250001</v>
      </c>
      <c r="K85" s="26">
        <f t="shared" si="33"/>
        <v>0</v>
      </c>
      <c r="M85" s="3">
        <f t="shared" si="34"/>
        <v>0</v>
      </c>
    </row>
    <row r="86" spans="1:18" x14ac:dyDescent="0.3">
      <c r="A86">
        <f t="shared" si="32"/>
        <v>76</v>
      </c>
      <c r="B86" s="22">
        <f t="shared" si="30"/>
        <v>76</v>
      </c>
      <c r="C86" t="str">
        <f t="shared" si="31"/>
        <v>Apr 07</v>
      </c>
      <c r="D86" s="14" t="s">
        <v>118</v>
      </c>
      <c r="E86" s="10" t="s">
        <v>95</v>
      </c>
      <c r="F86" s="3">
        <f t="shared" si="35"/>
        <v>13400.956406250001</v>
      </c>
      <c r="K86" s="26">
        <f t="shared" si="33"/>
        <v>0</v>
      </c>
      <c r="M86" s="3">
        <f t="shared" si="34"/>
        <v>0</v>
      </c>
    </row>
    <row r="87" spans="1:18" x14ac:dyDescent="0.3">
      <c r="A87">
        <f t="shared" si="32"/>
        <v>77</v>
      </c>
      <c r="B87" s="22">
        <f t="shared" si="30"/>
        <v>77</v>
      </c>
      <c r="C87" t="str">
        <f t="shared" si="31"/>
        <v>May 07</v>
      </c>
      <c r="D87" s="14" t="s">
        <v>118</v>
      </c>
      <c r="E87" s="10" t="s">
        <v>96</v>
      </c>
      <c r="F87" s="3">
        <f t="shared" si="35"/>
        <v>13400.956406250001</v>
      </c>
      <c r="K87" s="26">
        <f t="shared" si="33"/>
        <v>0</v>
      </c>
      <c r="M87" s="3">
        <f t="shared" si="34"/>
        <v>0</v>
      </c>
    </row>
    <row r="88" spans="1:18" x14ac:dyDescent="0.3">
      <c r="A88">
        <f t="shared" si="32"/>
        <v>78</v>
      </c>
      <c r="B88" s="22">
        <f t="shared" si="30"/>
        <v>78</v>
      </c>
      <c r="C88" t="str">
        <f t="shared" si="31"/>
        <v>Jun 07</v>
      </c>
      <c r="D88" s="14" t="s">
        <v>118</v>
      </c>
      <c r="E88" s="10" t="s">
        <v>97</v>
      </c>
      <c r="F88" s="3">
        <f t="shared" si="35"/>
        <v>13400.956406250001</v>
      </c>
      <c r="K88" s="26">
        <f t="shared" si="33"/>
        <v>0</v>
      </c>
      <c r="M88" s="3">
        <f t="shared" si="34"/>
        <v>0</v>
      </c>
    </row>
    <row r="89" spans="1:18" x14ac:dyDescent="0.3">
      <c r="A89">
        <f t="shared" si="32"/>
        <v>79</v>
      </c>
      <c r="B89" s="22">
        <f t="shared" si="30"/>
        <v>79</v>
      </c>
      <c r="C89" t="str">
        <f t="shared" si="31"/>
        <v>Jul 07</v>
      </c>
      <c r="D89" s="14" t="s">
        <v>118</v>
      </c>
      <c r="E89" s="10" t="s">
        <v>132</v>
      </c>
      <c r="F89" s="3">
        <f t="shared" si="35"/>
        <v>13400.956406250001</v>
      </c>
      <c r="K89" s="26">
        <f t="shared" si="33"/>
        <v>0</v>
      </c>
      <c r="M89" s="3">
        <f t="shared" si="34"/>
        <v>0</v>
      </c>
    </row>
    <row r="90" spans="1:18" x14ac:dyDescent="0.3">
      <c r="A90">
        <f t="shared" si="32"/>
        <v>80</v>
      </c>
      <c r="B90" s="22">
        <f t="shared" si="30"/>
        <v>80</v>
      </c>
      <c r="C90" t="str">
        <f t="shared" si="31"/>
        <v>Aug 07</v>
      </c>
      <c r="D90" s="14" t="s">
        <v>118</v>
      </c>
      <c r="E90" s="10" t="s">
        <v>98</v>
      </c>
      <c r="F90" s="3">
        <f t="shared" si="35"/>
        <v>13400.956406250001</v>
      </c>
      <c r="K90" s="26">
        <f t="shared" si="33"/>
        <v>0</v>
      </c>
      <c r="M90" s="3">
        <f t="shared" si="34"/>
        <v>0</v>
      </c>
    </row>
    <row r="91" spans="1:18" x14ac:dyDescent="0.3">
      <c r="A91">
        <f t="shared" si="32"/>
        <v>81</v>
      </c>
      <c r="B91" s="22">
        <f t="shared" si="30"/>
        <v>81</v>
      </c>
      <c r="C91" t="str">
        <f t="shared" si="31"/>
        <v>Sep 07</v>
      </c>
      <c r="D91" s="14" t="s">
        <v>118</v>
      </c>
      <c r="E91" s="10" t="s">
        <v>99</v>
      </c>
      <c r="F91" s="3">
        <f t="shared" si="35"/>
        <v>13400.956406250001</v>
      </c>
      <c r="K91" s="26">
        <f t="shared" si="33"/>
        <v>0</v>
      </c>
      <c r="M91" s="3">
        <f t="shared" si="34"/>
        <v>0</v>
      </c>
    </row>
    <row r="92" spans="1:18" x14ac:dyDescent="0.3">
      <c r="A92">
        <f t="shared" si="32"/>
        <v>82</v>
      </c>
      <c r="B92" s="22">
        <f t="shared" si="30"/>
        <v>82</v>
      </c>
      <c r="C92" t="str">
        <f t="shared" si="31"/>
        <v>Oct 07</v>
      </c>
      <c r="D92" s="14" t="s">
        <v>118</v>
      </c>
      <c r="E92" s="10" t="s">
        <v>100</v>
      </c>
      <c r="F92" s="3">
        <f t="shared" si="35"/>
        <v>13400.956406250001</v>
      </c>
      <c r="K92" s="26">
        <f t="shared" si="33"/>
        <v>0</v>
      </c>
      <c r="M92" s="3">
        <f t="shared" si="34"/>
        <v>0</v>
      </c>
    </row>
    <row r="93" spans="1:18" x14ac:dyDescent="0.3">
      <c r="A93">
        <f t="shared" si="32"/>
        <v>83</v>
      </c>
      <c r="B93" s="22">
        <f t="shared" si="30"/>
        <v>83</v>
      </c>
      <c r="C93" t="str">
        <f t="shared" si="31"/>
        <v>Nov 07</v>
      </c>
      <c r="D93" s="14" t="s">
        <v>118</v>
      </c>
      <c r="E93" s="10" t="s">
        <v>101</v>
      </c>
      <c r="F93" s="3">
        <f t="shared" si="35"/>
        <v>13400.956406250001</v>
      </c>
      <c r="K93" s="26">
        <f t="shared" si="33"/>
        <v>0</v>
      </c>
      <c r="M93" s="3">
        <f t="shared" si="34"/>
        <v>0</v>
      </c>
    </row>
    <row r="94" spans="1:18" x14ac:dyDescent="0.3">
      <c r="A94">
        <f t="shared" si="32"/>
        <v>84</v>
      </c>
      <c r="B94" s="22">
        <f t="shared" si="30"/>
        <v>84</v>
      </c>
      <c r="C94" t="str">
        <f t="shared" si="31"/>
        <v>Dec 07</v>
      </c>
      <c r="D94" s="14" t="s">
        <v>118</v>
      </c>
      <c r="E94" s="10" t="s">
        <v>102</v>
      </c>
      <c r="F94" s="3">
        <f t="shared" si="35"/>
        <v>13400.956406250001</v>
      </c>
      <c r="K94" s="26">
        <f t="shared" si="33"/>
        <v>0</v>
      </c>
      <c r="M94" s="3">
        <f t="shared" si="34"/>
        <v>0</v>
      </c>
    </row>
    <row r="95" spans="1:18" x14ac:dyDescent="0.3">
      <c r="A95">
        <f t="shared" si="32"/>
        <v>85</v>
      </c>
      <c r="B95" s="22">
        <f t="shared" si="30"/>
        <v>85</v>
      </c>
      <c r="C95" t="str">
        <f t="shared" si="31"/>
        <v>Jan 08</v>
      </c>
      <c r="D95" s="14" t="s">
        <v>119</v>
      </c>
      <c r="E95" s="10" t="s">
        <v>92</v>
      </c>
      <c r="F95" s="3">
        <f>+F94*(1+$H$4)</f>
        <v>14071.004226562502</v>
      </c>
      <c r="K95" s="26">
        <f t="shared" si="33"/>
        <v>0</v>
      </c>
      <c r="M95" s="3">
        <f t="shared" si="34"/>
        <v>0</v>
      </c>
    </row>
    <row r="96" spans="1:18" x14ac:dyDescent="0.3">
      <c r="A96">
        <f t="shared" si="32"/>
        <v>86</v>
      </c>
      <c r="B96" s="22">
        <f t="shared" si="30"/>
        <v>86</v>
      </c>
      <c r="C96" t="str">
        <f t="shared" si="31"/>
        <v>Feb 08</v>
      </c>
      <c r="D96" s="14" t="s">
        <v>119</v>
      </c>
      <c r="E96" s="10" t="s">
        <v>93</v>
      </c>
      <c r="F96" s="3">
        <f>+F95</f>
        <v>14071.004226562502</v>
      </c>
      <c r="K96" s="26">
        <f t="shared" si="33"/>
        <v>0</v>
      </c>
      <c r="M96" s="3">
        <f t="shared" si="34"/>
        <v>0</v>
      </c>
    </row>
    <row r="97" spans="1:13" x14ac:dyDescent="0.3">
      <c r="A97">
        <f t="shared" si="32"/>
        <v>87</v>
      </c>
      <c r="B97" s="22">
        <f t="shared" si="30"/>
        <v>87</v>
      </c>
      <c r="C97" t="str">
        <f t="shared" si="31"/>
        <v>Mar 08</v>
      </c>
      <c r="D97" s="14" t="s">
        <v>119</v>
      </c>
      <c r="E97" s="10" t="s">
        <v>94</v>
      </c>
      <c r="F97" s="3">
        <f t="shared" ref="F97:F106" si="36">+F96</f>
        <v>14071.004226562502</v>
      </c>
      <c r="K97" s="26">
        <f t="shared" si="33"/>
        <v>0</v>
      </c>
      <c r="M97" s="3">
        <f t="shared" si="34"/>
        <v>0</v>
      </c>
    </row>
    <row r="98" spans="1:13" x14ac:dyDescent="0.3">
      <c r="A98">
        <f t="shared" si="32"/>
        <v>88</v>
      </c>
      <c r="B98" s="22">
        <f t="shared" si="30"/>
        <v>88</v>
      </c>
      <c r="C98" t="str">
        <f t="shared" si="31"/>
        <v>Apr 08</v>
      </c>
      <c r="D98" s="14" t="s">
        <v>119</v>
      </c>
      <c r="E98" s="10" t="s">
        <v>95</v>
      </c>
      <c r="F98" s="3">
        <f t="shared" si="36"/>
        <v>14071.004226562502</v>
      </c>
      <c r="K98" s="26">
        <f t="shared" si="33"/>
        <v>0</v>
      </c>
      <c r="M98" s="3">
        <f t="shared" si="34"/>
        <v>0</v>
      </c>
    </row>
    <row r="99" spans="1:13" x14ac:dyDescent="0.3">
      <c r="A99">
        <f t="shared" si="32"/>
        <v>89</v>
      </c>
      <c r="B99" s="22">
        <f t="shared" si="30"/>
        <v>89</v>
      </c>
      <c r="C99" t="str">
        <f t="shared" si="31"/>
        <v>May 08</v>
      </c>
      <c r="D99" s="14" t="s">
        <v>119</v>
      </c>
      <c r="E99" s="10" t="s">
        <v>96</v>
      </c>
      <c r="F99" s="3">
        <f t="shared" si="36"/>
        <v>14071.004226562502</v>
      </c>
      <c r="K99" s="26">
        <f t="shared" si="33"/>
        <v>0</v>
      </c>
      <c r="M99" s="3">
        <f t="shared" si="34"/>
        <v>0</v>
      </c>
    </row>
    <row r="100" spans="1:13" x14ac:dyDescent="0.3">
      <c r="A100">
        <f t="shared" si="32"/>
        <v>90</v>
      </c>
      <c r="B100" s="22">
        <f t="shared" si="30"/>
        <v>90</v>
      </c>
      <c r="C100" t="str">
        <f t="shared" si="31"/>
        <v>Jun 08</v>
      </c>
      <c r="D100" s="14" t="s">
        <v>119</v>
      </c>
      <c r="E100" s="10" t="s">
        <v>97</v>
      </c>
      <c r="F100" s="3">
        <f t="shared" si="36"/>
        <v>14071.004226562502</v>
      </c>
      <c r="K100" s="26">
        <f t="shared" si="33"/>
        <v>0</v>
      </c>
      <c r="M100" s="3">
        <f t="shared" si="34"/>
        <v>0</v>
      </c>
    </row>
    <row r="101" spans="1:13" x14ac:dyDescent="0.3">
      <c r="A101">
        <f t="shared" si="32"/>
        <v>91</v>
      </c>
      <c r="B101" s="22">
        <f t="shared" si="30"/>
        <v>91</v>
      </c>
      <c r="C101" t="str">
        <f t="shared" si="31"/>
        <v>Jul 08</v>
      </c>
      <c r="D101" s="14" t="s">
        <v>119</v>
      </c>
      <c r="E101" s="10" t="s">
        <v>132</v>
      </c>
      <c r="F101" s="3">
        <f t="shared" si="36"/>
        <v>14071.004226562502</v>
      </c>
      <c r="K101" s="26">
        <f t="shared" si="33"/>
        <v>0</v>
      </c>
      <c r="M101" s="3">
        <f t="shared" si="34"/>
        <v>0</v>
      </c>
    </row>
    <row r="102" spans="1:13" x14ac:dyDescent="0.3">
      <c r="A102">
        <f t="shared" si="32"/>
        <v>92</v>
      </c>
      <c r="B102" s="22">
        <f t="shared" si="30"/>
        <v>92</v>
      </c>
      <c r="C102" t="str">
        <f t="shared" si="31"/>
        <v>Aug 08</v>
      </c>
      <c r="D102" s="14" t="s">
        <v>119</v>
      </c>
      <c r="E102" s="10" t="s">
        <v>98</v>
      </c>
      <c r="F102" s="3">
        <f t="shared" si="36"/>
        <v>14071.004226562502</v>
      </c>
      <c r="K102" s="26">
        <f t="shared" si="33"/>
        <v>0</v>
      </c>
      <c r="M102" s="3">
        <f t="shared" si="34"/>
        <v>0</v>
      </c>
    </row>
    <row r="103" spans="1:13" x14ac:dyDescent="0.3">
      <c r="A103">
        <f t="shared" si="32"/>
        <v>93</v>
      </c>
      <c r="B103" s="22">
        <f t="shared" si="30"/>
        <v>93</v>
      </c>
      <c r="C103" t="str">
        <f t="shared" si="31"/>
        <v>Sep 08</v>
      </c>
      <c r="D103" s="14" t="s">
        <v>119</v>
      </c>
      <c r="E103" s="10" t="s">
        <v>99</v>
      </c>
      <c r="F103" s="3">
        <f t="shared" si="36"/>
        <v>14071.004226562502</v>
      </c>
      <c r="K103" s="26">
        <f t="shared" si="33"/>
        <v>0</v>
      </c>
      <c r="M103" s="3">
        <f t="shared" si="34"/>
        <v>0</v>
      </c>
    </row>
    <row r="104" spans="1:13" x14ac:dyDescent="0.3">
      <c r="A104">
        <f t="shared" si="32"/>
        <v>94</v>
      </c>
      <c r="B104" s="22">
        <f t="shared" si="30"/>
        <v>94</v>
      </c>
      <c r="C104" t="str">
        <f t="shared" si="31"/>
        <v>Oct 08</v>
      </c>
      <c r="D104" s="14" t="s">
        <v>119</v>
      </c>
      <c r="E104" s="10" t="s">
        <v>100</v>
      </c>
      <c r="F104" s="3">
        <f t="shared" si="36"/>
        <v>14071.004226562502</v>
      </c>
      <c r="K104" s="26">
        <f t="shared" si="33"/>
        <v>0</v>
      </c>
      <c r="M104" s="3">
        <f t="shared" si="34"/>
        <v>0</v>
      </c>
    </row>
    <row r="105" spans="1:13" x14ac:dyDescent="0.3">
      <c r="A105">
        <f t="shared" si="32"/>
        <v>95</v>
      </c>
      <c r="B105" s="22">
        <f t="shared" si="30"/>
        <v>95</v>
      </c>
      <c r="C105" t="str">
        <f t="shared" si="31"/>
        <v>Nov 08</v>
      </c>
      <c r="D105" s="14" t="s">
        <v>119</v>
      </c>
      <c r="E105" s="10" t="s">
        <v>101</v>
      </c>
      <c r="F105" s="3">
        <f t="shared" si="36"/>
        <v>14071.004226562502</v>
      </c>
      <c r="K105" s="26">
        <f t="shared" si="33"/>
        <v>0</v>
      </c>
      <c r="M105" s="3">
        <f t="shared" si="34"/>
        <v>0</v>
      </c>
    </row>
    <row r="106" spans="1:13" x14ac:dyDescent="0.3">
      <c r="A106">
        <f t="shared" si="32"/>
        <v>96</v>
      </c>
      <c r="B106" s="22">
        <f t="shared" si="30"/>
        <v>96</v>
      </c>
      <c r="C106" t="str">
        <f t="shared" si="31"/>
        <v>Dec 08</v>
      </c>
      <c r="D106" s="14" t="s">
        <v>119</v>
      </c>
      <c r="E106" s="10" t="s">
        <v>102</v>
      </c>
      <c r="F106" s="3">
        <f t="shared" si="36"/>
        <v>14071.004226562502</v>
      </c>
      <c r="K106" s="26">
        <f t="shared" si="33"/>
        <v>0</v>
      </c>
      <c r="M106" s="3">
        <f t="shared" si="34"/>
        <v>0</v>
      </c>
    </row>
    <row r="107" spans="1:13" x14ac:dyDescent="0.3">
      <c r="A107">
        <f t="shared" si="32"/>
        <v>97</v>
      </c>
      <c r="B107" s="22">
        <f t="shared" si="30"/>
        <v>97</v>
      </c>
      <c r="C107" t="str">
        <f t="shared" si="31"/>
        <v>Jan 09</v>
      </c>
      <c r="D107" s="14" t="s">
        <v>120</v>
      </c>
      <c r="E107" s="10" t="s">
        <v>92</v>
      </c>
      <c r="F107" s="3">
        <f>+F106*(1+$H$4)</f>
        <v>14774.554437890627</v>
      </c>
      <c r="K107" s="26">
        <f t="shared" si="33"/>
        <v>0</v>
      </c>
      <c r="M107" s="3">
        <f t="shared" si="34"/>
        <v>0</v>
      </c>
    </row>
    <row r="108" spans="1:13" x14ac:dyDescent="0.3">
      <c r="A108">
        <f t="shared" si="32"/>
        <v>98</v>
      </c>
      <c r="B108" s="22">
        <f t="shared" si="30"/>
        <v>98</v>
      </c>
      <c r="C108" t="str">
        <f t="shared" si="31"/>
        <v>Feb 09</v>
      </c>
      <c r="D108" s="14" t="s">
        <v>120</v>
      </c>
      <c r="E108" s="10" t="s">
        <v>93</v>
      </c>
      <c r="F108" s="3">
        <f>+F107</f>
        <v>14774.554437890627</v>
      </c>
      <c r="K108" s="26">
        <f t="shared" si="33"/>
        <v>0</v>
      </c>
      <c r="M108" s="3">
        <f t="shared" si="34"/>
        <v>0</v>
      </c>
    </row>
    <row r="109" spans="1:13" x14ac:dyDescent="0.3">
      <c r="A109">
        <f t="shared" si="32"/>
        <v>99</v>
      </c>
      <c r="B109" s="22">
        <f t="shared" si="30"/>
        <v>99</v>
      </c>
      <c r="C109" t="str">
        <f t="shared" si="31"/>
        <v>Mar 09</v>
      </c>
      <c r="D109" s="14" t="s">
        <v>120</v>
      </c>
      <c r="E109" s="10" t="s">
        <v>94</v>
      </c>
      <c r="F109" s="3">
        <f t="shared" ref="F109:F118" si="37">+F108</f>
        <v>14774.554437890627</v>
      </c>
      <c r="K109" s="26">
        <f t="shared" si="33"/>
        <v>0</v>
      </c>
      <c r="M109" s="3">
        <f t="shared" si="34"/>
        <v>0</v>
      </c>
    </row>
    <row r="110" spans="1:13" x14ac:dyDescent="0.3">
      <c r="A110">
        <f t="shared" si="32"/>
        <v>100</v>
      </c>
      <c r="B110" s="22">
        <f t="shared" si="30"/>
        <v>100</v>
      </c>
      <c r="C110" t="str">
        <f t="shared" si="31"/>
        <v>Apr 09</v>
      </c>
      <c r="D110" s="14" t="s">
        <v>120</v>
      </c>
      <c r="E110" s="10" t="s">
        <v>95</v>
      </c>
      <c r="F110" s="3">
        <f t="shared" si="37"/>
        <v>14774.554437890627</v>
      </c>
      <c r="K110" s="26">
        <f t="shared" si="33"/>
        <v>0</v>
      </c>
      <c r="M110" s="3">
        <f t="shared" si="34"/>
        <v>0</v>
      </c>
    </row>
    <row r="111" spans="1:13" x14ac:dyDescent="0.3">
      <c r="A111">
        <f t="shared" si="32"/>
        <v>101</v>
      </c>
      <c r="B111" s="22">
        <f t="shared" si="30"/>
        <v>101</v>
      </c>
      <c r="C111" t="str">
        <f t="shared" si="31"/>
        <v>May 09</v>
      </c>
      <c r="D111" s="14" t="s">
        <v>120</v>
      </c>
      <c r="E111" s="10" t="s">
        <v>96</v>
      </c>
      <c r="F111" s="3">
        <f t="shared" si="37"/>
        <v>14774.554437890627</v>
      </c>
      <c r="K111" s="26">
        <f t="shared" si="33"/>
        <v>0</v>
      </c>
      <c r="M111" s="3">
        <f t="shared" si="34"/>
        <v>0</v>
      </c>
    </row>
    <row r="112" spans="1:13" x14ac:dyDescent="0.3">
      <c r="A112">
        <f t="shared" si="32"/>
        <v>102</v>
      </c>
      <c r="B112" s="22">
        <f t="shared" si="30"/>
        <v>102</v>
      </c>
      <c r="C112" t="str">
        <f t="shared" si="31"/>
        <v>Jun 09</v>
      </c>
      <c r="D112" s="14" t="s">
        <v>120</v>
      </c>
      <c r="E112" s="10" t="s">
        <v>97</v>
      </c>
      <c r="F112" s="3">
        <f t="shared" si="37"/>
        <v>14774.554437890627</v>
      </c>
      <c r="K112" s="26">
        <f t="shared" si="33"/>
        <v>0</v>
      </c>
      <c r="M112" s="3">
        <f t="shared" si="34"/>
        <v>0</v>
      </c>
    </row>
    <row r="113" spans="1:13" x14ac:dyDescent="0.3">
      <c r="A113">
        <f t="shared" si="32"/>
        <v>103</v>
      </c>
      <c r="B113" s="22">
        <f t="shared" si="30"/>
        <v>103</v>
      </c>
      <c r="C113" t="str">
        <f t="shared" si="31"/>
        <v>Jul 09</v>
      </c>
      <c r="D113" s="14" t="s">
        <v>120</v>
      </c>
      <c r="E113" s="10" t="s">
        <v>132</v>
      </c>
      <c r="F113" s="3">
        <f t="shared" si="37"/>
        <v>14774.554437890627</v>
      </c>
      <c r="K113" s="26">
        <f t="shared" si="33"/>
        <v>0</v>
      </c>
      <c r="M113" s="3">
        <f t="shared" si="34"/>
        <v>0</v>
      </c>
    </row>
    <row r="114" spans="1:13" x14ac:dyDescent="0.3">
      <c r="A114">
        <f t="shared" si="32"/>
        <v>104</v>
      </c>
      <c r="B114" s="22">
        <f t="shared" si="30"/>
        <v>104</v>
      </c>
      <c r="C114" t="str">
        <f t="shared" si="31"/>
        <v>Aug 09</v>
      </c>
      <c r="D114" s="14" t="s">
        <v>120</v>
      </c>
      <c r="E114" s="10" t="s">
        <v>98</v>
      </c>
      <c r="F114" s="3">
        <f t="shared" si="37"/>
        <v>14774.554437890627</v>
      </c>
      <c r="K114" s="26">
        <f t="shared" si="33"/>
        <v>0</v>
      </c>
      <c r="M114" s="3">
        <f t="shared" si="34"/>
        <v>0</v>
      </c>
    </row>
    <row r="115" spans="1:13" x14ac:dyDescent="0.3">
      <c r="A115">
        <f t="shared" si="32"/>
        <v>105</v>
      </c>
      <c r="B115" s="22">
        <f t="shared" si="30"/>
        <v>105</v>
      </c>
      <c r="C115" t="str">
        <f t="shared" si="31"/>
        <v>Sep 09</v>
      </c>
      <c r="D115" s="14" t="s">
        <v>120</v>
      </c>
      <c r="E115" s="10" t="s">
        <v>99</v>
      </c>
      <c r="F115" s="3">
        <f t="shared" si="37"/>
        <v>14774.554437890627</v>
      </c>
      <c r="K115" s="26">
        <f t="shared" si="33"/>
        <v>0</v>
      </c>
      <c r="M115" s="3">
        <f t="shared" si="34"/>
        <v>0</v>
      </c>
    </row>
    <row r="116" spans="1:13" x14ac:dyDescent="0.3">
      <c r="A116">
        <f t="shared" si="32"/>
        <v>106</v>
      </c>
      <c r="B116" s="22">
        <f t="shared" si="30"/>
        <v>106</v>
      </c>
      <c r="C116" t="str">
        <f t="shared" si="31"/>
        <v>Oct 09</v>
      </c>
      <c r="D116" s="14" t="s">
        <v>120</v>
      </c>
      <c r="E116" s="10" t="s">
        <v>100</v>
      </c>
      <c r="F116" s="3">
        <f t="shared" si="37"/>
        <v>14774.554437890627</v>
      </c>
      <c r="K116" s="26">
        <f t="shared" si="33"/>
        <v>0</v>
      </c>
      <c r="M116" s="3">
        <f t="shared" si="34"/>
        <v>0</v>
      </c>
    </row>
    <row r="117" spans="1:13" x14ac:dyDescent="0.3">
      <c r="A117">
        <f t="shared" si="32"/>
        <v>107</v>
      </c>
      <c r="B117" s="22">
        <f t="shared" si="30"/>
        <v>107</v>
      </c>
      <c r="C117" t="str">
        <f t="shared" si="31"/>
        <v>Nov 09</v>
      </c>
      <c r="D117" s="14" t="s">
        <v>120</v>
      </c>
      <c r="E117" s="10" t="s">
        <v>101</v>
      </c>
      <c r="F117" s="3">
        <f t="shared" si="37"/>
        <v>14774.554437890627</v>
      </c>
      <c r="K117" s="26">
        <f t="shared" si="33"/>
        <v>0</v>
      </c>
      <c r="M117" s="3">
        <f t="shared" si="34"/>
        <v>0</v>
      </c>
    </row>
    <row r="118" spans="1:13" x14ac:dyDescent="0.3">
      <c r="A118">
        <f t="shared" si="32"/>
        <v>108</v>
      </c>
      <c r="B118" s="22">
        <f t="shared" si="30"/>
        <v>108</v>
      </c>
      <c r="C118" t="str">
        <f t="shared" si="31"/>
        <v>Dec 09</v>
      </c>
      <c r="D118" s="14" t="s">
        <v>120</v>
      </c>
      <c r="E118" s="10" t="s">
        <v>102</v>
      </c>
      <c r="F118" s="3">
        <f t="shared" si="37"/>
        <v>14774.554437890627</v>
      </c>
      <c r="K118" s="26">
        <f t="shared" si="33"/>
        <v>0</v>
      </c>
      <c r="M118" s="3">
        <f t="shared" si="34"/>
        <v>0</v>
      </c>
    </row>
    <row r="119" spans="1:13" x14ac:dyDescent="0.3">
      <c r="A119">
        <f t="shared" si="32"/>
        <v>109</v>
      </c>
      <c r="B119" s="22">
        <f t="shared" si="30"/>
        <v>109</v>
      </c>
      <c r="C119" t="str">
        <f t="shared" si="31"/>
        <v>Jan 10</v>
      </c>
      <c r="D119" s="11">
        <v>10</v>
      </c>
      <c r="E119" s="10" t="s">
        <v>92</v>
      </c>
      <c r="F119" s="3">
        <f>+F118*(1+$H$4)</f>
        <v>15513.28215978516</v>
      </c>
      <c r="K119" s="26">
        <f t="shared" si="33"/>
        <v>0</v>
      </c>
      <c r="M119" s="3">
        <f t="shared" si="34"/>
        <v>0</v>
      </c>
    </row>
    <row r="120" spans="1:13" x14ac:dyDescent="0.3">
      <c r="A120">
        <f t="shared" si="32"/>
        <v>110</v>
      </c>
      <c r="B120" s="22">
        <f t="shared" si="30"/>
        <v>110</v>
      </c>
      <c r="C120" t="str">
        <f t="shared" si="31"/>
        <v>Feb 10</v>
      </c>
      <c r="D120" s="11">
        <v>10</v>
      </c>
      <c r="E120" s="10" t="s">
        <v>93</v>
      </c>
      <c r="F120" s="3">
        <f>+F119</f>
        <v>15513.28215978516</v>
      </c>
      <c r="K120" s="26">
        <f t="shared" si="33"/>
        <v>0</v>
      </c>
      <c r="M120" s="3">
        <f t="shared" si="34"/>
        <v>0</v>
      </c>
    </row>
    <row r="121" spans="1:13" x14ac:dyDescent="0.3">
      <c r="A121">
        <f t="shared" si="32"/>
        <v>111</v>
      </c>
      <c r="B121" s="22">
        <f t="shared" si="30"/>
        <v>111</v>
      </c>
      <c r="C121" t="str">
        <f t="shared" si="31"/>
        <v>Mar 10</v>
      </c>
      <c r="D121" s="11">
        <v>10</v>
      </c>
      <c r="E121" s="10" t="s">
        <v>94</v>
      </c>
      <c r="F121" s="3">
        <f t="shared" ref="F121:F130" si="38">+F120</f>
        <v>15513.28215978516</v>
      </c>
      <c r="K121" s="26">
        <f t="shared" si="33"/>
        <v>0</v>
      </c>
      <c r="M121" s="3">
        <f t="shared" si="34"/>
        <v>0</v>
      </c>
    </row>
    <row r="122" spans="1:13" x14ac:dyDescent="0.3">
      <c r="A122">
        <f t="shared" si="32"/>
        <v>112</v>
      </c>
      <c r="B122" s="22">
        <f t="shared" si="30"/>
        <v>112</v>
      </c>
      <c r="C122" t="str">
        <f t="shared" si="31"/>
        <v>Apr 10</v>
      </c>
      <c r="D122" s="11">
        <v>10</v>
      </c>
      <c r="E122" s="10" t="s">
        <v>95</v>
      </c>
      <c r="F122" s="3">
        <f t="shared" si="38"/>
        <v>15513.28215978516</v>
      </c>
      <c r="K122" s="26">
        <f t="shared" si="33"/>
        <v>0</v>
      </c>
      <c r="M122" s="3">
        <f t="shared" si="34"/>
        <v>0</v>
      </c>
    </row>
    <row r="123" spans="1:13" x14ac:dyDescent="0.3">
      <c r="A123">
        <f t="shared" si="32"/>
        <v>113</v>
      </c>
      <c r="B123" s="22">
        <f t="shared" si="30"/>
        <v>113</v>
      </c>
      <c r="C123" t="str">
        <f t="shared" si="31"/>
        <v>May 10</v>
      </c>
      <c r="D123" s="11">
        <v>10</v>
      </c>
      <c r="E123" s="10" t="s">
        <v>96</v>
      </c>
      <c r="F123" s="3">
        <f t="shared" si="38"/>
        <v>15513.28215978516</v>
      </c>
      <c r="K123" s="26">
        <f t="shared" si="33"/>
        <v>0</v>
      </c>
      <c r="M123" s="3">
        <f t="shared" si="34"/>
        <v>0</v>
      </c>
    </row>
    <row r="124" spans="1:13" x14ac:dyDescent="0.3">
      <c r="A124">
        <f t="shared" si="32"/>
        <v>114</v>
      </c>
      <c r="B124" s="22">
        <f t="shared" si="30"/>
        <v>114</v>
      </c>
      <c r="C124" t="str">
        <f t="shared" si="31"/>
        <v>Jun 10</v>
      </c>
      <c r="D124" s="11">
        <v>10</v>
      </c>
      <c r="E124" s="10" t="s">
        <v>97</v>
      </c>
      <c r="F124" s="3">
        <f t="shared" si="38"/>
        <v>15513.28215978516</v>
      </c>
      <c r="K124" s="26">
        <f t="shared" si="33"/>
        <v>0</v>
      </c>
      <c r="M124" s="3">
        <f t="shared" si="34"/>
        <v>0</v>
      </c>
    </row>
    <row r="125" spans="1:13" x14ac:dyDescent="0.3">
      <c r="A125">
        <f t="shared" si="32"/>
        <v>115</v>
      </c>
      <c r="B125" s="22">
        <f t="shared" si="30"/>
        <v>115</v>
      </c>
      <c r="C125" t="str">
        <f t="shared" si="31"/>
        <v>Jul 10</v>
      </c>
      <c r="D125" s="11">
        <v>10</v>
      </c>
      <c r="E125" s="10" t="s">
        <v>132</v>
      </c>
      <c r="F125" s="3">
        <f t="shared" si="38"/>
        <v>15513.28215978516</v>
      </c>
      <c r="K125" s="26">
        <f t="shared" si="33"/>
        <v>0</v>
      </c>
      <c r="M125" s="3">
        <f t="shared" si="34"/>
        <v>0</v>
      </c>
    </row>
    <row r="126" spans="1:13" x14ac:dyDescent="0.3">
      <c r="A126">
        <f t="shared" si="32"/>
        <v>116</v>
      </c>
      <c r="B126" s="22">
        <f t="shared" si="30"/>
        <v>116</v>
      </c>
      <c r="C126" t="str">
        <f t="shared" si="31"/>
        <v>Aug 10</v>
      </c>
      <c r="D126" s="11">
        <v>10</v>
      </c>
      <c r="E126" s="10" t="s">
        <v>98</v>
      </c>
      <c r="F126" s="3">
        <f t="shared" si="38"/>
        <v>15513.28215978516</v>
      </c>
      <c r="K126" s="26">
        <f t="shared" si="33"/>
        <v>0</v>
      </c>
      <c r="M126" s="3">
        <f t="shared" si="34"/>
        <v>0</v>
      </c>
    </row>
    <row r="127" spans="1:13" x14ac:dyDescent="0.3">
      <c r="A127">
        <f t="shared" si="32"/>
        <v>117</v>
      </c>
      <c r="B127" s="22">
        <f t="shared" si="30"/>
        <v>117</v>
      </c>
      <c r="C127" t="str">
        <f t="shared" si="31"/>
        <v>Sep 10</v>
      </c>
      <c r="D127" s="11">
        <v>10</v>
      </c>
      <c r="E127" s="10" t="s">
        <v>99</v>
      </c>
      <c r="F127" s="3">
        <f t="shared" si="38"/>
        <v>15513.28215978516</v>
      </c>
      <c r="K127" s="26">
        <f t="shared" si="33"/>
        <v>0</v>
      </c>
      <c r="M127" s="3">
        <f t="shared" si="34"/>
        <v>0</v>
      </c>
    </row>
    <row r="128" spans="1:13" x14ac:dyDescent="0.3">
      <c r="A128">
        <f t="shared" si="32"/>
        <v>118</v>
      </c>
      <c r="B128" s="22">
        <f t="shared" si="30"/>
        <v>118</v>
      </c>
      <c r="C128" t="str">
        <f t="shared" si="31"/>
        <v>Oct 10</v>
      </c>
      <c r="D128" s="11">
        <v>10</v>
      </c>
      <c r="E128" s="10" t="s">
        <v>100</v>
      </c>
      <c r="F128" s="3">
        <f t="shared" si="38"/>
        <v>15513.28215978516</v>
      </c>
      <c r="K128" s="26">
        <f t="shared" si="33"/>
        <v>0</v>
      </c>
      <c r="M128" s="3">
        <f t="shared" si="34"/>
        <v>0</v>
      </c>
    </row>
    <row r="129" spans="1:13" x14ac:dyDescent="0.3">
      <c r="A129">
        <f t="shared" si="32"/>
        <v>119</v>
      </c>
      <c r="B129" s="22">
        <f t="shared" si="30"/>
        <v>119</v>
      </c>
      <c r="C129" t="str">
        <f t="shared" si="31"/>
        <v>Nov 10</v>
      </c>
      <c r="D129" s="11">
        <v>10</v>
      </c>
      <c r="E129" s="10" t="s">
        <v>101</v>
      </c>
      <c r="F129" s="3">
        <f t="shared" si="38"/>
        <v>15513.28215978516</v>
      </c>
      <c r="K129" s="26">
        <f t="shared" si="33"/>
        <v>0</v>
      </c>
      <c r="M129" s="3">
        <f t="shared" si="34"/>
        <v>0</v>
      </c>
    </row>
    <row r="130" spans="1:13" x14ac:dyDescent="0.3">
      <c r="A130">
        <f t="shared" si="32"/>
        <v>120</v>
      </c>
      <c r="B130" s="22">
        <f t="shared" si="30"/>
        <v>120</v>
      </c>
      <c r="C130" t="str">
        <f t="shared" si="31"/>
        <v>Dec 10</v>
      </c>
      <c r="D130" s="11">
        <v>10</v>
      </c>
      <c r="E130" s="10" t="s">
        <v>102</v>
      </c>
      <c r="F130" s="3">
        <f t="shared" si="38"/>
        <v>15513.28215978516</v>
      </c>
      <c r="K130" s="26">
        <f t="shared" si="33"/>
        <v>0</v>
      </c>
      <c r="M130" s="3">
        <f t="shared" si="34"/>
        <v>0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A4AF8-3AE0-4371-A763-190C9994AA41}">
  <sheetPr codeName="Sheet13"/>
  <dimension ref="A2:E7"/>
  <sheetViews>
    <sheetView workbookViewId="0">
      <selection activeCell="D3" sqref="D3"/>
    </sheetView>
  </sheetViews>
  <sheetFormatPr defaultRowHeight="14.4" x14ac:dyDescent="0.3"/>
  <cols>
    <col min="1" max="1" width="12.6640625" bestFit="1" customWidth="1"/>
    <col min="4" max="4" width="22.6640625" bestFit="1" customWidth="1"/>
    <col min="5" max="5" width="66.33203125" bestFit="1" customWidth="1"/>
  </cols>
  <sheetData>
    <row r="2" spans="1:5" x14ac:dyDescent="0.3">
      <c r="A2" t="s">
        <v>539</v>
      </c>
      <c r="B2" t="s">
        <v>540</v>
      </c>
      <c r="C2" t="s">
        <v>139</v>
      </c>
      <c r="D2" t="s">
        <v>129</v>
      </c>
      <c r="E2" t="s">
        <v>400</v>
      </c>
    </row>
    <row r="7" spans="1:5" x14ac:dyDescent="0.3">
      <c r="A7" t="s">
        <v>537</v>
      </c>
      <c r="B7" t="s">
        <v>538</v>
      </c>
      <c r="C7">
        <v>2053</v>
      </c>
      <c r="D7" t="s">
        <v>541</v>
      </c>
      <c r="E7" t="s">
        <v>542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EE9AF6-47B1-4D3E-8218-4704E4CB26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30</vt:i4>
      </vt:variant>
    </vt:vector>
  </HeadingPairs>
  <TitlesOfParts>
    <vt:vector size="43" baseType="lpstr">
      <vt:lpstr>Runtime</vt:lpstr>
      <vt:lpstr>Variables</vt:lpstr>
      <vt:lpstr>Themes</vt:lpstr>
      <vt:lpstr>Menu</vt:lpstr>
      <vt:lpstr>Catalog</vt:lpstr>
      <vt:lpstr>Recipes</vt:lpstr>
      <vt:lpstr>Inventory</vt:lpstr>
      <vt:lpstr>Current</vt:lpstr>
      <vt:lpstr>Personnel</vt:lpstr>
      <vt:lpstr>Promotions</vt:lpstr>
      <vt:lpstr>Projects</vt:lpstr>
      <vt:lpstr>Demand</vt:lpstr>
      <vt:lpstr>Versions</vt:lpstr>
      <vt:lpstr>AverageWageRate</vt:lpstr>
      <vt:lpstr>Catalog</vt:lpstr>
      <vt:lpstr>ChartNumber</vt:lpstr>
      <vt:lpstr>ConversionRate</vt:lpstr>
      <vt:lpstr>CustomerType</vt:lpstr>
      <vt:lpstr>Demand</vt:lpstr>
      <vt:lpstr>DemandKey</vt:lpstr>
      <vt:lpstr>FoodTruckLocation</vt:lpstr>
      <vt:lpstr>Current!Inventory</vt:lpstr>
      <vt:lpstr>Inventory</vt:lpstr>
      <vt:lpstr>Location</vt:lpstr>
      <vt:lpstr>MenuChoice</vt:lpstr>
      <vt:lpstr>MenuType</vt:lpstr>
      <vt:lpstr>Plates</vt:lpstr>
      <vt:lpstr>Variables!Print_Area</vt:lpstr>
      <vt:lpstr>Current!ProductMaster</vt:lpstr>
      <vt:lpstr>ProductMaster</vt:lpstr>
      <vt:lpstr>PromotionType</vt:lpstr>
      <vt:lpstr>Recipes</vt:lpstr>
      <vt:lpstr>RestaurantSize</vt:lpstr>
      <vt:lpstr>RestaurantTheme</vt:lpstr>
      <vt:lpstr>RestTypeName</vt:lpstr>
      <vt:lpstr>RunNumber</vt:lpstr>
      <vt:lpstr>Seatings</vt:lpstr>
      <vt:lpstr>ShirkRate</vt:lpstr>
      <vt:lpstr>SimpleStaffing</vt:lpstr>
      <vt:lpstr>SizeType</vt:lpstr>
      <vt:lpstr>Staffing</vt:lpstr>
      <vt:lpstr>Version</vt:lpstr>
      <vt:lpstr>VersionDate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 lee</cp:lastModifiedBy>
  <cp:lastPrinted>2018-07-31T17:53:19Z</cp:lastPrinted>
  <dcterms:created xsi:type="dcterms:W3CDTF">2017-10-03T19:55:05Z</dcterms:created>
  <dcterms:modified xsi:type="dcterms:W3CDTF">2024-04-27T01:26:54Z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2a260081-f7ce-4c04-8ec2-ee851cde30d3</vt:lpwstr>
  </property>
</Properties>
</file>